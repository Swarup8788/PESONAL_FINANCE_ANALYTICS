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codeName="ThisWorkbook" hidePivotFieldList="1"/>
  <mc:AlternateContent xmlns:mc="http://schemas.openxmlformats.org/markup-compatibility/2006">
    <mc:Choice Requires="x15">
      <x15ac:absPath xmlns:x15ac="http://schemas.microsoft.com/office/spreadsheetml/2010/11/ac" url="C:\Users\swarupbhosale\Downloads\"/>
    </mc:Choice>
  </mc:AlternateContent>
  <xr:revisionPtr revIDLastSave="0" documentId="13_ncr:1_{7EC2FFC0-BC77-48EF-9178-8A38FE53EBBD}" xr6:coauthVersionLast="47" xr6:coauthVersionMax="47" xr10:uidLastSave="{00000000-0000-0000-0000-000000000000}"/>
  <bookViews>
    <workbookView xWindow="-108" yWindow="-108" windowWidth="23256" windowHeight="12456" activeTab="2" xr2:uid="{F1C7D256-588E-4179-96FC-0F354ABDDF03}"/>
  </bookViews>
  <sheets>
    <sheet name="Personal Finance" sheetId="1" r:id="rId1"/>
    <sheet name="Sheet2" sheetId="3" r:id="rId2"/>
    <sheet name="DASHBOARD" sheetId="2" r:id="rId3"/>
  </sheets>
  <definedNames>
    <definedName name="_xlnm._FilterDatabase" localSheetId="0" hidden="1">'Personal Finance'!$A$1:$J$1001</definedName>
    <definedName name="Slicer_Account">#N/A</definedName>
    <definedName name="Slicer_Typ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155" i="3" l="1"/>
  <c r="D161" i="3"/>
  <c r="B166" i="3"/>
  <c r="D172" i="3"/>
  <c r="B171" i="3" l="1"/>
  <c r="C166" i="3"/>
  <c r="D166" i="3" s="1"/>
  <c r="E169" i="3" s="1"/>
</calcChain>
</file>

<file path=xl/sharedStrings.xml><?xml version="1.0" encoding="utf-8"?>
<sst xmlns="http://schemas.openxmlformats.org/spreadsheetml/2006/main" count="7094" uniqueCount="1091">
  <si>
    <t>Transaction ID</t>
  </si>
  <si>
    <t>Date</t>
  </si>
  <si>
    <t>Account</t>
  </si>
  <si>
    <t>Type</t>
  </si>
  <si>
    <t>Category</t>
  </si>
  <si>
    <t>Description / Merchant</t>
  </si>
  <si>
    <t>Amount</t>
  </si>
  <si>
    <t>Payment Method</t>
  </si>
  <si>
    <t>Is Recurring</t>
  </si>
  <si>
    <t>Running Balance</t>
  </si>
  <si>
    <t>TXN-20001</t>
  </si>
  <si>
    <t>Checking</t>
  </si>
  <si>
    <t>Income</t>
  </si>
  <si>
    <t>Salary</t>
  </si>
  <si>
    <t>Employer Direct Deposit</t>
  </si>
  <si>
    <t>Direct Deposit</t>
  </si>
  <si>
    <t>Yes</t>
  </si>
  <si>
    <t>TXN-20002</t>
  </si>
  <si>
    <t>Expense</t>
  </si>
  <si>
    <t>Rent</t>
  </si>
  <si>
    <t>Apartment Complex</t>
  </si>
  <si>
    <t>Auto-Pay</t>
  </si>
  <si>
    <t>TXN-20003</t>
  </si>
  <si>
    <t>Dining</t>
  </si>
  <si>
    <t>Sushi Palace</t>
  </si>
  <si>
    <t>Cash</t>
  </si>
  <si>
    <t>No</t>
  </si>
  <si>
    <t>TXN-20004</t>
  </si>
  <si>
    <t>Groceries</t>
  </si>
  <si>
    <t>Walmart Grocery</t>
  </si>
  <si>
    <t>Credit</t>
  </si>
  <si>
    <t>TXN-20005</t>
  </si>
  <si>
    <t>McDonald's</t>
  </si>
  <si>
    <t>TXN-20006</t>
  </si>
  <si>
    <t>Debit</t>
  </si>
  <si>
    <t>TXN-20007</t>
  </si>
  <si>
    <t>Credit Card</t>
  </si>
  <si>
    <t>Olive Garden</t>
  </si>
  <si>
    <t>TXN-20008</t>
  </si>
  <si>
    <t>Entertainment</t>
  </si>
  <si>
    <t>Netflix</t>
  </si>
  <si>
    <t>TXN-20009</t>
  </si>
  <si>
    <t>TXN-20010</t>
  </si>
  <si>
    <t>Utilities</t>
  </si>
  <si>
    <t>Cell Phone Bill</t>
  </si>
  <si>
    <t>TXN-20011</t>
  </si>
  <si>
    <t>TXN-20012</t>
  </si>
  <si>
    <t>Transport</t>
  </si>
  <si>
    <t>Uber</t>
  </si>
  <si>
    <t>TXN-20013</t>
  </si>
  <si>
    <t>Gas Company</t>
  </si>
  <si>
    <t>TXN-20014</t>
  </si>
  <si>
    <t>Trader Joe's</t>
  </si>
  <si>
    <t>TXN-20015</t>
  </si>
  <si>
    <t>Uber Eats</t>
  </si>
  <si>
    <t>TXN-20016</t>
  </si>
  <si>
    <t>EZ Pass Toll</t>
  </si>
  <si>
    <t>TXN-20017</t>
  </si>
  <si>
    <t>Whole Foods</t>
  </si>
  <si>
    <t>TXN-20018</t>
  </si>
  <si>
    <t>BP Gas</t>
  </si>
  <si>
    <t>TXN-20019</t>
  </si>
  <si>
    <t>TXN-20020</t>
  </si>
  <si>
    <t>TXN-20021</t>
  </si>
  <si>
    <t>Concert Tickets</t>
  </si>
  <si>
    <t>TXN-20022</t>
  </si>
  <si>
    <t>TXN-20023</t>
  </si>
  <si>
    <t>TXN-20024</t>
  </si>
  <si>
    <t>TXN-20025</t>
  </si>
  <si>
    <t>Shell Gas</t>
  </si>
  <si>
    <t>TXN-20026</t>
  </si>
  <si>
    <t>TXN-20027</t>
  </si>
  <si>
    <t>TXN-20028</t>
  </si>
  <si>
    <t>TXN-20029</t>
  </si>
  <si>
    <t>Costco</t>
  </si>
  <si>
    <t>TXN-20030</t>
  </si>
  <si>
    <t>Panera Bread</t>
  </si>
  <si>
    <t>TXN-20031</t>
  </si>
  <si>
    <t>TXN-20032</t>
  </si>
  <si>
    <t>Kroger</t>
  </si>
  <si>
    <t>TXN-20033</t>
  </si>
  <si>
    <t>TXN-20034</t>
  </si>
  <si>
    <t>Metro Transit</t>
  </si>
  <si>
    <t>TXN-20035</t>
  </si>
  <si>
    <t>TXN-20036</t>
  </si>
  <si>
    <t>TXN-20037</t>
  </si>
  <si>
    <t>TXN-20038</t>
  </si>
  <si>
    <t>Chipotle</t>
  </si>
  <si>
    <t>TXN-20039</t>
  </si>
  <si>
    <t>AMC Theaters</t>
  </si>
  <si>
    <t>TXN-20040</t>
  </si>
  <si>
    <t>Lyft</t>
  </si>
  <si>
    <t>TXN-20041</t>
  </si>
  <si>
    <t>TXN-20042</t>
  </si>
  <si>
    <t>TXN-20043</t>
  </si>
  <si>
    <t>TXN-20044</t>
  </si>
  <si>
    <t>Property Management LLC</t>
  </si>
  <si>
    <t>TXN-20045</t>
  </si>
  <si>
    <t>DoorDash</t>
  </si>
  <si>
    <t>TXN-20046</t>
  </si>
  <si>
    <t>TXN-20047</t>
  </si>
  <si>
    <t>TXN-20048</t>
  </si>
  <si>
    <t>TXN-20049</t>
  </si>
  <si>
    <t>Electric Company</t>
  </si>
  <si>
    <t>TXN-20050</t>
  </si>
  <si>
    <t>TXN-20051</t>
  </si>
  <si>
    <t>Parking Garage</t>
  </si>
  <si>
    <t>TXN-20052</t>
  </si>
  <si>
    <t>Freelance</t>
  </si>
  <si>
    <t>Upwork Transfer</t>
  </si>
  <si>
    <t>Transfer</t>
  </si>
  <si>
    <t>TXN-20053</t>
  </si>
  <si>
    <t>TXN-20054</t>
  </si>
  <si>
    <t>TXN-20055</t>
  </si>
  <si>
    <t>Safeway</t>
  </si>
  <si>
    <t>TXN-20056</t>
  </si>
  <si>
    <t>TXN-20057</t>
  </si>
  <si>
    <t>Aldi</t>
  </si>
  <si>
    <t>TXN-20058</t>
  </si>
  <si>
    <t>TXN-20059</t>
  </si>
  <si>
    <t>TXN-20060</t>
  </si>
  <si>
    <t>TXN-20061</t>
  </si>
  <si>
    <t>TXN-20062</t>
  </si>
  <si>
    <t>TXN-20063</t>
  </si>
  <si>
    <t>Local Bistro</t>
  </si>
  <si>
    <t>TXN-20064</t>
  </si>
  <si>
    <t>Savings</t>
  </si>
  <si>
    <t>Fiverr Earnings</t>
  </si>
  <si>
    <t>TXN-20065</t>
  </si>
  <si>
    <t>TXN-20066</t>
  </si>
  <si>
    <t>TXN-20067</t>
  </si>
  <si>
    <t>TXN-20068</t>
  </si>
  <si>
    <t>TXN-20069</t>
  </si>
  <si>
    <t>TXN-20070</t>
  </si>
  <si>
    <t>TXN-20071</t>
  </si>
  <si>
    <t>Starbucks</t>
  </si>
  <si>
    <t>TXN-20072</t>
  </si>
  <si>
    <t>TXN-20073</t>
  </si>
  <si>
    <t>TXN-20074</t>
  </si>
  <si>
    <t>TXN-20075</t>
  </si>
  <si>
    <t>TXN-20076</t>
  </si>
  <si>
    <t>TXN-20077</t>
  </si>
  <si>
    <t>TXN-20078</t>
  </si>
  <si>
    <t>TXN-20079</t>
  </si>
  <si>
    <t>TXN-20080</t>
  </si>
  <si>
    <t>TXN-20081</t>
  </si>
  <si>
    <t>TXN-20082</t>
  </si>
  <si>
    <t>TXN-20083</t>
  </si>
  <si>
    <t>TXN-20084</t>
  </si>
  <si>
    <t>TXN-20085</t>
  </si>
  <si>
    <t>TXN-20086</t>
  </si>
  <si>
    <t>Water Utility</t>
  </si>
  <si>
    <t>TXN-20087</t>
  </si>
  <si>
    <t>TXN-20088</t>
  </si>
  <si>
    <t>TXN-20089</t>
  </si>
  <si>
    <t>TXN-20090</t>
  </si>
  <si>
    <t>Kindle Store</t>
  </si>
  <si>
    <t>TXN-20091</t>
  </si>
  <si>
    <t>TXN-20092</t>
  </si>
  <si>
    <t>TXN-20093</t>
  </si>
  <si>
    <t>TXN-20094</t>
  </si>
  <si>
    <t>TXN-20095</t>
  </si>
  <si>
    <t>TXN-20096</t>
  </si>
  <si>
    <t>TXN-20097</t>
  </si>
  <si>
    <t>TXN-20098</t>
  </si>
  <si>
    <t>TXN-20099</t>
  </si>
  <si>
    <t>TXN-20100</t>
  </si>
  <si>
    <t>TXN-20101</t>
  </si>
  <si>
    <t>TXN-20102</t>
  </si>
  <si>
    <t>TXN-20103</t>
  </si>
  <si>
    <t>Bowling Alley</t>
  </si>
  <si>
    <t>TXN-20104</t>
  </si>
  <si>
    <t>TXN-20105</t>
  </si>
  <si>
    <t>TXN-20106</t>
  </si>
  <si>
    <t>TXN-20107</t>
  </si>
  <si>
    <t>TXN-20108</t>
  </si>
  <si>
    <t>TXN-20109</t>
  </si>
  <si>
    <t>TXN-20110</t>
  </si>
  <si>
    <t>TXN-20111</t>
  </si>
  <si>
    <t>Steam Games</t>
  </si>
  <si>
    <t>TXN-20112</t>
  </si>
  <si>
    <t>TXN-20113</t>
  </si>
  <si>
    <t>TXN-20114</t>
  </si>
  <si>
    <t>Check</t>
  </si>
  <si>
    <t>TXN-20115</t>
  </si>
  <si>
    <t>TXN-20116</t>
  </si>
  <si>
    <t>Spotify</t>
  </si>
  <si>
    <t>TXN-20117</t>
  </si>
  <si>
    <t>TXN-20118</t>
  </si>
  <si>
    <t>TXN-20119</t>
  </si>
  <si>
    <t>TXN-20120</t>
  </si>
  <si>
    <t>Landlord Payment</t>
  </si>
  <si>
    <t>TXN-20121</t>
  </si>
  <si>
    <t>TXN-20122</t>
  </si>
  <si>
    <t>TXN-20123</t>
  </si>
  <si>
    <t>TXN-20124</t>
  </si>
  <si>
    <t>TXN-20125</t>
  </si>
  <si>
    <t>TXN-20126</t>
  </si>
  <si>
    <t>TXN-20127</t>
  </si>
  <si>
    <t>TXN-20128</t>
  </si>
  <si>
    <t>TXN-20129</t>
  </si>
  <si>
    <t>TXN-20130</t>
  </si>
  <si>
    <t>TXN-20131</t>
  </si>
  <si>
    <t>TXN-20132</t>
  </si>
  <si>
    <t>TXN-20133</t>
  </si>
  <si>
    <t>TXN-20134</t>
  </si>
  <si>
    <t>TXN-20135</t>
  </si>
  <si>
    <t>TXN-20136</t>
  </si>
  <si>
    <t>TXN-20137</t>
  </si>
  <si>
    <t>TXN-20138</t>
  </si>
  <si>
    <t>TXN-20139</t>
  </si>
  <si>
    <t>TXN-20140</t>
  </si>
  <si>
    <t>TXN-20141</t>
  </si>
  <si>
    <t>TXN-20142</t>
  </si>
  <si>
    <t>TXN-20143</t>
  </si>
  <si>
    <t>TXN-20144</t>
  </si>
  <si>
    <t>TXN-20145</t>
  </si>
  <si>
    <t>TXN-20146</t>
  </si>
  <si>
    <t>TXN-20147</t>
  </si>
  <si>
    <t>TXN-20148</t>
  </si>
  <si>
    <t>TXN-20149</t>
  </si>
  <si>
    <t>TXN-20150</t>
  </si>
  <si>
    <t>TXN-20151</t>
  </si>
  <si>
    <t>TXN-20152</t>
  </si>
  <si>
    <t>TXN-20153</t>
  </si>
  <si>
    <t>TXN-20154</t>
  </si>
  <si>
    <t>TXN-20155</t>
  </si>
  <si>
    <t>TXN-20156</t>
  </si>
  <si>
    <t>TXN-20157</t>
  </si>
  <si>
    <t>TXN-20158</t>
  </si>
  <si>
    <t>TXN-20159</t>
  </si>
  <si>
    <t>TXN-20160</t>
  </si>
  <si>
    <t>TXN-20161</t>
  </si>
  <si>
    <t>TXN-20162</t>
  </si>
  <si>
    <t>TXN-20163</t>
  </si>
  <si>
    <t>TXN-20164</t>
  </si>
  <si>
    <t>TXN-20165</t>
  </si>
  <si>
    <t>TXN-20166</t>
  </si>
  <si>
    <t>TXN-20167</t>
  </si>
  <si>
    <t>Company Payroll</t>
  </si>
  <si>
    <t>TXN-20168</t>
  </si>
  <si>
    <t>TXN-20169</t>
  </si>
  <si>
    <t>TXN-20170</t>
  </si>
  <si>
    <t>TXN-20171</t>
  </si>
  <si>
    <t>TXN-20172</t>
  </si>
  <si>
    <t>TXN-20173</t>
  </si>
  <si>
    <t>TXN-20174</t>
  </si>
  <si>
    <t>TXN-20175</t>
  </si>
  <si>
    <t>TXN-20176</t>
  </si>
  <si>
    <t>TXN-20177</t>
  </si>
  <si>
    <t>TXN-20178</t>
  </si>
  <si>
    <t>TXN-20179</t>
  </si>
  <si>
    <t>TXN-20180</t>
  </si>
  <si>
    <t>TXN-20181</t>
  </si>
  <si>
    <t>TXN-20182</t>
  </si>
  <si>
    <t>TXN-20183</t>
  </si>
  <si>
    <t>TXN-20184</t>
  </si>
  <si>
    <t>TXN-20185</t>
  </si>
  <si>
    <t>TXN-20186</t>
  </si>
  <si>
    <t>TXN-20187</t>
  </si>
  <si>
    <t>TXN-20188</t>
  </si>
  <si>
    <t>TXN-20189</t>
  </si>
  <si>
    <t>TXN-20190</t>
  </si>
  <si>
    <t>TXN-20191</t>
  </si>
  <si>
    <t>TXN-20192</t>
  </si>
  <si>
    <t>TXN-20193</t>
  </si>
  <si>
    <t>TXN-20194</t>
  </si>
  <si>
    <t>TXN-20195</t>
  </si>
  <si>
    <t>TXN-20196</t>
  </si>
  <si>
    <t>TXN-20197</t>
  </si>
  <si>
    <t>TXN-20198</t>
  </si>
  <si>
    <t>TXN-20199</t>
  </si>
  <si>
    <t>TXN-20200</t>
  </si>
  <si>
    <t>TXN-20201</t>
  </si>
  <si>
    <t>TXN-20202</t>
  </si>
  <si>
    <t>TXN-20203</t>
  </si>
  <si>
    <t>TXN-20204</t>
  </si>
  <si>
    <t>TXN-20205</t>
  </si>
  <si>
    <t>TXN-20206</t>
  </si>
  <si>
    <t>TXN-20207</t>
  </si>
  <si>
    <t>TXN-20208</t>
  </si>
  <si>
    <t>TXN-20209</t>
  </si>
  <si>
    <t>TXN-20210</t>
  </si>
  <si>
    <t>TXN-20211</t>
  </si>
  <si>
    <t>TXN-20212</t>
  </si>
  <si>
    <t>TXN-20213</t>
  </si>
  <si>
    <t>TXN-20214</t>
  </si>
  <si>
    <t>TXN-20215</t>
  </si>
  <si>
    <t>TXN-20216</t>
  </si>
  <si>
    <t>TXN-20217</t>
  </si>
  <si>
    <t>TXN-20218</t>
  </si>
  <si>
    <t>TXN-20219</t>
  </si>
  <si>
    <t>TXN-20220</t>
  </si>
  <si>
    <t>TXN-20221</t>
  </si>
  <si>
    <t>TXN-20222</t>
  </si>
  <si>
    <t>TXN-20223</t>
  </si>
  <si>
    <t>TXN-20224</t>
  </si>
  <si>
    <t>TXN-20225</t>
  </si>
  <si>
    <t>TXN-20226</t>
  </si>
  <si>
    <t>TXN-20227</t>
  </si>
  <si>
    <t>TXN-20228</t>
  </si>
  <si>
    <t>TXN-20229</t>
  </si>
  <si>
    <t>TXN-20230</t>
  </si>
  <si>
    <t>TXN-20231</t>
  </si>
  <si>
    <t>TXN-20232</t>
  </si>
  <si>
    <t>TXN-20233</t>
  </si>
  <si>
    <t>TXN-20234</t>
  </si>
  <si>
    <t>TXN-20235</t>
  </si>
  <si>
    <t>TXN-20236</t>
  </si>
  <si>
    <t>TXN-20237</t>
  </si>
  <si>
    <t>TXN-20238</t>
  </si>
  <si>
    <t>TXN-20239</t>
  </si>
  <si>
    <t>TXN-20240</t>
  </si>
  <si>
    <t>TXN-20241</t>
  </si>
  <si>
    <t>TXN-20242</t>
  </si>
  <si>
    <t>TXN-20243</t>
  </si>
  <si>
    <t>TXN-20244</t>
  </si>
  <si>
    <t>TXN-20245</t>
  </si>
  <si>
    <t>TXN-20246</t>
  </si>
  <si>
    <t>TXN-20247</t>
  </si>
  <si>
    <t>TXN-20248</t>
  </si>
  <si>
    <t>TXN-20249</t>
  </si>
  <si>
    <t>TXN-20250</t>
  </si>
  <si>
    <t>TXN-20251</t>
  </si>
  <si>
    <t>TXN-20252</t>
  </si>
  <si>
    <t>TXN-20253</t>
  </si>
  <si>
    <t>TXN-20254</t>
  </si>
  <si>
    <t>TXN-20255</t>
  </si>
  <si>
    <t>TXN-20256</t>
  </si>
  <si>
    <t>TXN-20257</t>
  </si>
  <si>
    <t>TXN-20258</t>
  </si>
  <si>
    <t>TXN-20259</t>
  </si>
  <si>
    <t>TXN-20260</t>
  </si>
  <si>
    <t>TXN-20261</t>
  </si>
  <si>
    <t>TXN-20262</t>
  </si>
  <si>
    <t>TXN-20263</t>
  </si>
  <si>
    <t>TXN-20264</t>
  </si>
  <si>
    <t>TXN-20265</t>
  </si>
  <si>
    <t>TXN-20266</t>
  </si>
  <si>
    <t>Internet Provider</t>
  </si>
  <si>
    <t>TXN-20267</t>
  </si>
  <si>
    <t>TXN-20268</t>
  </si>
  <si>
    <t>TXN-20269</t>
  </si>
  <si>
    <t>TXN-20270</t>
  </si>
  <si>
    <t>TXN-20271</t>
  </si>
  <si>
    <t>TXN-20272</t>
  </si>
  <si>
    <t>TXN-20273</t>
  </si>
  <si>
    <t>TXN-20274</t>
  </si>
  <si>
    <t>TXN-20275</t>
  </si>
  <si>
    <t>TXN-20276</t>
  </si>
  <si>
    <t>TXN-20277</t>
  </si>
  <si>
    <t>TXN-20278</t>
  </si>
  <si>
    <t>TXN-20279</t>
  </si>
  <si>
    <t>TXN-20280</t>
  </si>
  <si>
    <t>Client Payment</t>
  </si>
  <si>
    <t>TXN-20281</t>
  </si>
  <si>
    <t>TXN-20282</t>
  </si>
  <si>
    <t>TXN-20283</t>
  </si>
  <si>
    <t>TXN-20284</t>
  </si>
  <si>
    <t>TXN-20285</t>
  </si>
  <si>
    <t>TXN-20286</t>
  </si>
  <si>
    <t>TXN-20287</t>
  </si>
  <si>
    <t>TXN-20288</t>
  </si>
  <si>
    <t>TXN-20289</t>
  </si>
  <si>
    <t>TXN-20290</t>
  </si>
  <si>
    <t>TXN-20291</t>
  </si>
  <si>
    <t>TXN-20292</t>
  </si>
  <si>
    <t>TXN-20293</t>
  </si>
  <si>
    <t>TXN-20294</t>
  </si>
  <si>
    <t>TXN-20295</t>
  </si>
  <si>
    <t>TXN-20296</t>
  </si>
  <si>
    <t>TXN-20297</t>
  </si>
  <si>
    <t>TXN-20298</t>
  </si>
  <si>
    <t>TXN-20299</t>
  </si>
  <si>
    <t>TXN-20300</t>
  </si>
  <si>
    <t>TXN-20301</t>
  </si>
  <si>
    <t>TXN-20302</t>
  </si>
  <si>
    <t>TXN-20303</t>
  </si>
  <si>
    <t>TXN-20304</t>
  </si>
  <si>
    <t>TXN-20305</t>
  </si>
  <si>
    <t>TXN-20306</t>
  </si>
  <si>
    <t>TXN-20307</t>
  </si>
  <si>
    <t>TXN-20308</t>
  </si>
  <si>
    <t>TXN-20309</t>
  </si>
  <si>
    <t>TXN-20310</t>
  </si>
  <si>
    <t>TXN-20311</t>
  </si>
  <si>
    <t>TXN-20312</t>
  </si>
  <si>
    <t>TXN-20313</t>
  </si>
  <si>
    <t>Consulting Fee</t>
  </si>
  <si>
    <t>TXN-20314</t>
  </si>
  <si>
    <t>TXN-20315</t>
  </si>
  <si>
    <t>TXN-20316</t>
  </si>
  <si>
    <t>TXN-20317</t>
  </si>
  <si>
    <t>TXN-20318</t>
  </si>
  <si>
    <t>TXN-20319</t>
  </si>
  <si>
    <t>TXN-20320</t>
  </si>
  <si>
    <t>TXN-20321</t>
  </si>
  <si>
    <t>TXN-20322</t>
  </si>
  <si>
    <t>TXN-20323</t>
  </si>
  <si>
    <t>TXN-20324</t>
  </si>
  <si>
    <t>TXN-20325</t>
  </si>
  <si>
    <t>TXN-20326</t>
  </si>
  <si>
    <t>TXN-20327</t>
  </si>
  <si>
    <t>TXN-20328</t>
  </si>
  <si>
    <t>TXN-20329</t>
  </si>
  <si>
    <t>TXN-20330</t>
  </si>
  <si>
    <t>TXN-20331</t>
  </si>
  <si>
    <t>TXN-20332</t>
  </si>
  <si>
    <t>TXN-20333</t>
  </si>
  <si>
    <t>TXN-20334</t>
  </si>
  <si>
    <t>TXN-20335</t>
  </si>
  <si>
    <t>TXN-20336</t>
  </si>
  <si>
    <t>TXN-20337</t>
  </si>
  <si>
    <t>TXN-20338</t>
  </si>
  <si>
    <t>TXN-20339</t>
  </si>
  <si>
    <t>TXN-20340</t>
  </si>
  <si>
    <t>TXN-20341</t>
  </si>
  <si>
    <t>TXN-20342</t>
  </si>
  <si>
    <t>TXN-20343</t>
  </si>
  <si>
    <t>TXN-20344</t>
  </si>
  <si>
    <t>TXN-20345</t>
  </si>
  <si>
    <t>TXN-20346</t>
  </si>
  <si>
    <t>TXN-20347</t>
  </si>
  <si>
    <t>TXN-20348</t>
  </si>
  <si>
    <t>TXN-20349</t>
  </si>
  <si>
    <t>TXN-20350</t>
  </si>
  <si>
    <t>TXN-20351</t>
  </si>
  <si>
    <t>TXN-20352</t>
  </si>
  <si>
    <t>TXN-20353</t>
  </si>
  <si>
    <t>TXN-20354</t>
  </si>
  <si>
    <t>TXN-20355</t>
  </si>
  <si>
    <t>TXN-20356</t>
  </si>
  <si>
    <t>TXN-20357</t>
  </si>
  <si>
    <t>TXN-20358</t>
  </si>
  <si>
    <t>TXN-20359</t>
  </si>
  <si>
    <t>TXN-20360</t>
  </si>
  <si>
    <t>TXN-20361</t>
  </si>
  <si>
    <t>TXN-20362</t>
  </si>
  <si>
    <t>TXN-20363</t>
  </si>
  <si>
    <t>TXN-20364</t>
  </si>
  <si>
    <t>TXN-20365</t>
  </si>
  <si>
    <t>TXN-20366</t>
  </si>
  <si>
    <t>TXN-20367</t>
  </si>
  <si>
    <t>TXN-20368</t>
  </si>
  <si>
    <t>TXN-20369</t>
  </si>
  <si>
    <t>TXN-20370</t>
  </si>
  <si>
    <t>TXN-20371</t>
  </si>
  <si>
    <t>TXN-20372</t>
  </si>
  <si>
    <t>TXN-20373</t>
  </si>
  <si>
    <t>TXN-20374</t>
  </si>
  <si>
    <t>TXN-20375</t>
  </si>
  <si>
    <t>TXN-20376</t>
  </si>
  <si>
    <t>TXN-20377</t>
  </si>
  <si>
    <t>TXN-20378</t>
  </si>
  <si>
    <t>TXN-20379</t>
  </si>
  <si>
    <t>TXN-20380</t>
  </si>
  <si>
    <t>TXN-20381</t>
  </si>
  <si>
    <t>TXN-20382</t>
  </si>
  <si>
    <t>TXN-20383</t>
  </si>
  <si>
    <t>TXN-20384</t>
  </si>
  <si>
    <t>TXN-20385</t>
  </si>
  <si>
    <t>TXN-20386</t>
  </si>
  <si>
    <t>TXN-20387</t>
  </si>
  <si>
    <t>TXN-20388</t>
  </si>
  <si>
    <t>TXN-20389</t>
  </si>
  <si>
    <t>TXN-20390</t>
  </si>
  <si>
    <t>TXN-20391</t>
  </si>
  <si>
    <t>TXN-20392</t>
  </si>
  <si>
    <t>TXN-20393</t>
  </si>
  <si>
    <t>TXN-20394</t>
  </si>
  <si>
    <t>TXN-20395</t>
  </si>
  <si>
    <t>TXN-20396</t>
  </si>
  <si>
    <t>TXN-20397</t>
  </si>
  <si>
    <t>TXN-20398</t>
  </si>
  <si>
    <t>TXN-20399</t>
  </si>
  <si>
    <t>TXN-20400</t>
  </si>
  <si>
    <t>TXN-20401</t>
  </si>
  <si>
    <t>TXN-20402</t>
  </si>
  <si>
    <t>TXN-20403</t>
  </si>
  <si>
    <t>TXN-20404</t>
  </si>
  <si>
    <t>TXN-20405</t>
  </si>
  <si>
    <t>TXN-20406</t>
  </si>
  <si>
    <t>TXN-20407</t>
  </si>
  <si>
    <t>TXN-20408</t>
  </si>
  <si>
    <t>TXN-20409</t>
  </si>
  <si>
    <t>TXN-20410</t>
  </si>
  <si>
    <t>TXN-20411</t>
  </si>
  <si>
    <t>TXN-20412</t>
  </si>
  <si>
    <t>TXN-20413</t>
  </si>
  <si>
    <t>TXN-20414</t>
  </si>
  <si>
    <t>TXN-20415</t>
  </si>
  <si>
    <t>TXN-20416</t>
  </si>
  <si>
    <t>TXN-20417</t>
  </si>
  <si>
    <t>TXN-20418</t>
  </si>
  <si>
    <t>TXN-20419</t>
  </si>
  <si>
    <t>TXN-20420</t>
  </si>
  <si>
    <t>TXN-20421</t>
  </si>
  <si>
    <t>TXN-20422</t>
  </si>
  <si>
    <t>TXN-20423</t>
  </si>
  <si>
    <t>TXN-20424</t>
  </si>
  <si>
    <t>TXN-20425</t>
  </si>
  <si>
    <t>TXN-20426</t>
  </si>
  <si>
    <t>TXN-20427</t>
  </si>
  <si>
    <t>TXN-20428</t>
  </si>
  <si>
    <t>TXN-20429</t>
  </si>
  <si>
    <t>TXN-20430</t>
  </si>
  <si>
    <t>TXN-20431</t>
  </si>
  <si>
    <t>TXN-20432</t>
  </si>
  <si>
    <t>TXN-20433</t>
  </si>
  <si>
    <t>TXN-20434</t>
  </si>
  <si>
    <t>TXN-20435</t>
  </si>
  <si>
    <t>TXN-20436</t>
  </si>
  <si>
    <t>TXN-20437</t>
  </si>
  <si>
    <t>TXN-20438</t>
  </si>
  <si>
    <t>TXN-20439</t>
  </si>
  <si>
    <t>TXN-20440</t>
  </si>
  <si>
    <t>TXN-20441</t>
  </si>
  <si>
    <t>TXN-20442</t>
  </si>
  <si>
    <t>TXN-20443</t>
  </si>
  <si>
    <t>TXN-20444</t>
  </si>
  <si>
    <t>TXN-20445</t>
  </si>
  <si>
    <t>TXN-20446</t>
  </si>
  <si>
    <t>TXN-20447</t>
  </si>
  <si>
    <t>TXN-20448</t>
  </si>
  <si>
    <t>TXN-20449</t>
  </si>
  <si>
    <t>TXN-20450</t>
  </si>
  <si>
    <t>TXN-20451</t>
  </si>
  <si>
    <t>TXN-20452</t>
  </si>
  <si>
    <t>TXN-20453</t>
  </si>
  <si>
    <t>TXN-20454</t>
  </si>
  <si>
    <t>TXN-20455</t>
  </si>
  <si>
    <t>TXN-20456</t>
  </si>
  <si>
    <t>TXN-20457</t>
  </si>
  <si>
    <t>TXN-20458</t>
  </si>
  <si>
    <t>TXN-20459</t>
  </si>
  <si>
    <t>TXN-20460</t>
  </si>
  <si>
    <t>TXN-20461</t>
  </si>
  <si>
    <t>TXN-20462</t>
  </si>
  <si>
    <t>TXN-20463</t>
  </si>
  <si>
    <t>TXN-20464</t>
  </si>
  <si>
    <t>TXN-20465</t>
  </si>
  <si>
    <t>TXN-20466</t>
  </si>
  <si>
    <t>TXN-20467</t>
  </si>
  <si>
    <t>TXN-20468</t>
  </si>
  <si>
    <t>TXN-20469</t>
  </si>
  <si>
    <t>TXN-20470</t>
  </si>
  <si>
    <t>TXN-20471</t>
  </si>
  <si>
    <t>TXN-20472</t>
  </si>
  <si>
    <t>TXN-20473</t>
  </si>
  <si>
    <t>TXN-20474</t>
  </si>
  <si>
    <t>TXN-20475</t>
  </si>
  <si>
    <t>TXN-20476</t>
  </si>
  <si>
    <t>TXN-20477</t>
  </si>
  <si>
    <t>TXN-20478</t>
  </si>
  <si>
    <t>TXN-20479</t>
  </si>
  <si>
    <t>TXN-20480</t>
  </si>
  <si>
    <t>TXN-20481</t>
  </si>
  <si>
    <t>TXN-20482</t>
  </si>
  <si>
    <t>TXN-20483</t>
  </si>
  <si>
    <t>TXN-20484</t>
  </si>
  <si>
    <t>TXN-20485</t>
  </si>
  <si>
    <t>TXN-20486</t>
  </si>
  <si>
    <t>TXN-20487</t>
  </si>
  <si>
    <t>TXN-20488</t>
  </si>
  <si>
    <t>TXN-20489</t>
  </si>
  <si>
    <t>TXN-20490</t>
  </si>
  <si>
    <t>TXN-20491</t>
  </si>
  <si>
    <t>TXN-20492</t>
  </si>
  <si>
    <t>TXN-20493</t>
  </si>
  <si>
    <t>TXN-20494</t>
  </si>
  <si>
    <t>TXN-20495</t>
  </si>
  <si>
    <t>TXN-20496</t>
  </si>
  <si>
    <t>TXN-20497</t>
  </si>
  <si>
    <t>TXN-20498</t>
  </si>
  <si>
    <t>TXN-20499</t>
  </si>
  <si>
    <t>TXN-20500</t>
  </si>
  <si>
    <t>TXN-20501</t>
  </si>
  <si>
    <t>TXN-20502</t>
  </si>
  <si>
    <t>TXN-20503</t>
  </si>
  <si>
    <t>TXN-20504</t>
  </si>
  <si>
    <t>TXN-20505</t>
  </si>
  <si>
    <t>TXN-20506</t>
  </si>
  <si>
    <t>TXN-20507</t>
  </si>
  <si>
    <t>TXN-20508</t>
  </si>
  <si>
    <t>TXN-20509</t>
  </si>
  <si>
    <t>TXN-20510</t>
  </si>
  <si>
    <t>TXN-20511</t>
  </si>
  <si>
    <t>TXN-20512</t>
  </si>
  <si>
    <t>TXN-20513</t>
  </si>
  <si>
    <t>TXN-20514</t>
  </si>
  <si>
    <t>TXN-20515</t>
  </si>
  <si>
    <t>TXN-20516</t>
  </si>
  <si>
    <t>TXN-20517</t>
  </si>
  <si>
    <t>TXN-20518</t>
  </si>
  <si>
    <t>TXN-20519</t>
  </si>
  <si>
    <t>TXN-20520</t>
  </si>
  <si>
    <t>TXN-20521</t>
  </si>
  <si>
    <t>TXN-20522</t>
  </si>
  <si>
    <t>TXN-20523</t>
  </si>
  <si>
    <t>TXN-20524</t>
  </si>
  <si>
    <t>TXN-20525</t>
  </si>
  <si>
    <t>TXN-20526</t>
  </si>
  <si>
    <t>TXN-20527</t>
  </si>
  <si>
    <t>TXN-20528</t>
  </si>
  <si>
    <t>TXN-20529</t>
  </si>
  <si>
    <t>TXN-20530</t>
  </si>
  <si>
    <t>TXN-20531</t>
  </si>
  <si>
    <t>TXN-20532</t>
  </si>
  <si>
    <t>TXN-20533</t>
  </si>
  <si>
    <t>TXN-20534</t>
  </si>
  <si>
    <t>TXN-20535</t>
  </si>
  <si>
    <t>TXN-20536</t>
  </si>
  <si>
    <t>TXN-20537</t>
  </si>
  <si>
    <t>TXN-20538</t>
  </si>
  <si>
    <t>TXN-20539</t>
  </si>
  <si>
    <t>TXN-20540</t>
  </si>
  <si>
    <t>TXN-20541</t>
  </si>
  <si>
    <t>TXN-20542</t>
  </si>
  <si>
    <t>TXN-20543</t>
  </si>
  <si>
    <t>TXN-20544</t>
  </si>
  <si>
    <t>TXN-20545</t>
  </si>
  <si>
    <t>TXN-20546</t>
  </si>
  <si>
    <t>TXN-20547</t>
  </si>
  <si>
    <t>TXN-20548</t>
  </si>
  <si>
    <t>TXN-20549</t>
  </si>
  <si>
    <t>TXN-20550</t>
  </si>
  <si>
    <t>TXN-20551</t>
  </si>
  <si>
    <t>TXN-20552</t>
  </si>
  <si>
    <t>TXN-20553</t>
  </si>
  <si>
    <t>TXN-20554</t>
  </si>
  <si>
    <t>TXN-20555</t>
  </si>
  <si>
    <t>TXN-20556</t>
  </si>
  <si>
    <t>TXN-20557</t>
  </si>
  <si>
    <t>TXN-20558</t>
  </si>
  <si>
    <t>TXN-20559</t>
  </si>
  <si>
    <t>TXN-20560</t>
  </si>
  <si>
    <t>TXN-20561</t>
  </si>
  <si>
    <t>TXN-20562</t>
  </si>
  <si>
    <t>TXN-20563</t>
  </si>
  <si>
    <t>TXN-20564</t>
  </si>
  <si>
    <t>TXN-20565</t>
  </si>
  <si>
    <t>TXN-20566</t>
  </si>
  <si>
    <t>TXN-20567</t>
  </si>
  <si>
    <t>TXN-20568</t>
  </si>
  <si>
    <t>TXN-20569</t>
  </si>
  <si>
    <t>TXN-20570</t>
  </si>
  <si>
    <t>TXN-20571</t>
  </si>
  <si>
    <t>TXN-20572</t>
  </si>
  <si>
    <t>TXN-20573</t>
  </si>
  <si>
    <t>TXN-20574</t>
  </si>
  <si>
    <t>TXN-20575</t>
  </si>
  <si>
    <t>TXN-20576</t>
  </si>
  <si>
    <t>TXN-20577</t>
  </si>
  <si>
    <t>TXN-20578</t>
  </si>
  <si>
    <t>TXN-20579</t>
  </si>
  <si>
    <t>TXN-20580</t>
  </si>
  <si>
    <t>TXN-20581</t>
  </si>
  <si>
    <t>TXN-20582</t>
  </si>
  <si>
    <t>TXN-20583</t>
  </si>
  <si>
    <t>TXN-20584</t>
  </si>
  <si>
    <t>TXN-20585</t>
  </si>
  <si>
    <t>TXN-20586</t>
  </si>
  <si>
    <t>TXN-20587</t>
  </si>
  <si>
    <t>TXN-20588</t>
  </si>
  <si>
    <t>TXN-20589</t>
  </si>
  <si>
    <t>TXN-20590</t>
  </si>
  <si>
    <t>TXN-20591</t>
  </si>
  <si>
    <t>TXN-20592</t>
  </si>
  <si>
    <t>TXN-20593</t>
  </si>
  <si>
    <t>TXN-20594</t>
  </si>
  <si>
    <t>TXN-20595</t>
  </si>
  <si>
    <t>TXN-20596</t>
  </si>
  <si>
    <t>TXN-20597</t>
  </si>
  <si>
    <t>TXN-20598</t>
  </si>
  <si>
    <t>TXN-20599</t>
  </si>
  <si>
    <t>TXN-20600</t>
  </si>
  <si>
    <t>TXN-20601</t>
  </si>
  <si>
    <t>TXN-20602</t>
  </si>
  <si>
    <t>TXN-20603</t>
  </si>
  <si>
    <t>TXN-20604</t>
  </si>
  <si>
    <t>TXN-20605</t>
  </si>
  <si>
    <t>TXN-20606</t>
  </si>
  <si>
    <t>TXN-20607</t>
  </si>
  <si>
    <t>TXN-20608</t>
  </si>
  <si>
    <t>TXN-20609</t>
  </si>
  <si>
    <t>TXN-20610</t>
  </si>
  <si>
    <t>TXN-20611</t>
  </si>
  <si>
    <t>TXN-20612</t>
  </si>
  <si>
    <t>TXN-20613</t>
  </si>
  <si>
    <t>TXN-20614</t>
  </si>
  <si>
    <t>TXN-20615</t>
  </si>
  <si>
    <t>TXN-20616</t>
  </si>
  <si>
    <t>TXN-20617</t>
  </si>
  <si>
    <t>TXN-20618</t>
  </si>
  <si>
    <t>TXN-20619</t>
  </si>
  <si>
    <t>TXN-20620</t>
  </si>
  <si>
    <t>TXN-20621</t>
  </si>
  <si>
    <t>TXN-20622</t>
  </si>
  <si>
    <t>TXN-20623</t>
  </si>
  <si>
    <t>TXN-20624</t>
  </si>
  <si>
    <t>TXN-20625</t>
  </si>
  <si>
    <t>TXN-20626</t>
  </si>
  <si>
    <t>TXN-20627</t>
  </si>
  <si>
    <t>TXN-20628</t>
  </si>
  <si>
    <t>TXN-20629</t>
  </si>
  <si>
    <t>TXN-20630</t>
  </si>
  <si>
    <t>TXN-20631</t>
  </si>
  <si>
    <t>TXN-20632</t>
  </si>
  <si>
    <t>TXN-20633</t>
  </si>
  <si>
    <t>TXN-20634</t>
  </si>
  <si>
    <t>TXN-20635</t>
  </si>
  <si>
    <t>TXN-20636</t>
  </si>
  <si>
    <t>TXN-20637</t>
  </si>
  <si>
    <t>TXN-20638</t>
  </si>
  <si>
    <t>TXN-20639</t>
  </si>
  <si>
    <t>TXN-20640</t>
  </si>
  <si>
    <t>TXN-20641</t>
  </si>
  <si>
    <t>TXN-20642</t>
  </si>
  <si>
    <t>TXN-20643</t>
  </si>
  <si>
    <t>TXN-20644</t>
  </si>
  <si>
    <t>TXN-20645</t>
  </si>
  <si>
    <t>TXN-20646</t>
  </si>
  <si>
    <t>TXN-20647</t>
  </si>
  <si>
    <t>TXN-20648</t>
  </si>
  <si>
    <t>TXN-20649</t>
  </si>
  <si>
    <t>TXN-20650</t>
  </si>
  <si>
    <t>TXN-20651</t>
  </si>
  <si>
    <t>TXN-20652</t>
  </si>
  <si>
    <t>TXN-20653</t>
  </si>
  <si>
    <t>TXN-20654</t>
  </si>
  <si>
    <t>TXN-20655</t>
  </si>
  <si>
    <t>TXN-20656</t>
  </si>
  <si>
    <t>TXN-20657</t>
  </si>
  <si>
    <t>TXN-20658</t>
  </si>
  <si>
    <t>TXN-20659</t>
  </si>
  <si>
    <t>TXN-20660</t>
  </si>
  <si>
    <t>TXN-20661</t>
  </si>
  <si>
    <t>TXN-20662</t>
  </si>
  <si>
    <t>TXN-20663</t>
  </si>
  <si>
    <t>TXN-20664</t>
  </si>
  <si>
    <t>TXN-20665</t>
  </si>
  <si>
    <t>TXN-20666</t>
  </si>
  <si>
    <t>TXN-20667</t>
  </si>
  <si>
    <t>TXN-20668</t>
  </si>
  <si>
    <t>TXN-20669</t>
  </si>
  <si>
    <t>TXN-20670</t>
  </si>
  <si>
    <t>TXN-20671</t>
  </si>
  <si>
    <t>TXN-20672</t>
  </si>
  <si>
    <t>TXN-20673</t>
  </si>
  <si>
    <t>TXN-20674</t>
  </si>
  <si>
    <t>TXN-20675</t>
  </si>
  <si>
    <t>TXN-20676</t>
  </si>
  <si>
    <t>TXN-20677</t>
  </si>
  <si>
    <t>TXN-20678</t>
  </si>
  <si>
    <t>TXN-20679</t>
  </si>
  <si>
    <t>TXN-20680</t>
  </si>
  <si>
    <t>TXN-20681</t>
  </si>
  <si>
    <t>TXN-20682</t>
  </si>
  <si>
    <t>TXN-20683</t>
  </si>
  <si>
    <t>TXN-20684</t>
  </si>
  <si>
    <t>TXN-20685</t>
  </si>
  <si>
    <t>TXN-20686</t>
  </si>
  <si>
    <t>TXN-20687</t>
  </si>
  <si>
    <t>TXN-20688</t>
  </si>
  <si>
    <t>TXN-20689</t>
  </si>
  <si>
    <t>TXN-20690</t>
  </si>
  <si>
    <t>TXN-20691</t>
  </si>
  <si>
    <t>TXN-20692</t>
  </si>
  <si>
    <t>TXN-20693</t>
  </si>
  <si>
    <t>TXN-20694</t>
  </si>
  <si>
    <t>TXN-20695</t>
  </si>
  <si>
    <t>TXN-20696</t>
  </si>
  <si>
    <t>TXN-20697</t>
  </si>
  <si>
    <t>TXN-20698</t>
  </si>
  <si>
    <t>TXN-20699</t>
  </si>
  <si>
    <t>TXN-20700</t>
  </si>
  <si>
    <t>TXN-20701</t>
  </si>
  <si>
    <t>TXN-20702</t>
  </si>
  <si>
    <t>TXN-20703</t>
  </si>
  <si>
    <t>TXN-20704</t>
  </si>
  <si>
    <t>TXN-20705</t>
  </si>
  <si>
    <t>TXN-20706</t>
  </si>
  <si>
    <t>TXN-20707</t>
  </si>
  <si>
    <t>TXN-20708</t>
  </si>
  <si>
    <t>TXN-20709</t>
  </si>
  <si>
    <t>TXN-20710</t>
  </si>
  <si>
    <t>TXN-20711</t>
  </si>
  <si>
    <t>TXN-20712</t>
  </si>
  <si>
    <t>TXN-20713</t>
  </si>
  <si>
    <t>TXN-20714</t>
  </si>
  <si>
    <t>TXN-20715</t>
  </si>
  <si>
    <t>TXN-20716</t>
  </si>
  <si>
    <t>TXN-20717</t>
  </si>
  <si>
    <t>TXN-20718</t>
  </si>
  <si>
    <t>TXN-20719</t>
  </si>
  <si>
    <t>TXN-20720</t>
  </si>
  <si>
    <t>TXN-20721</t>
  </si>
  <si>
    <t>TXN-20722</t>
  </si>
  <si>
    <t>TXN-20723</t>
  </si>
  <si>
    <t>TXN-20724</t>
  </si>
  <si>
    <t>TXN-20725</t>
  </si>
  <si>
    <t>TXN-20726</t>
  </si>
  <si>
    <t>TXN-20727</t>
  </si>
  <si>
    <t>TXN-20728</t>
  </si>
  <si>
    <t>TXN-20729</t>
  </si>
  <si>
    <t>TXN-20730</t>
  </si>
  <si>
    <t>TXN-20731</t>
  </si>
  <si>
    <t>TXN-20732</t>
  </si>
  <si>
    <t>TXN-20733</t>
  </si>
  <si>
    <t>TXN-20734</t>
  </si>
  <si>
    <t>TXN-20735</t>
  </si>
  <si>
    <t>TXN-20736</t>
  </si>
  <si>
    <t>TXN-20737</t>
  </si>
  <si>
    <t>TXN-20738</t>
  </si>
  <si>
    <t>TXN-20739</t>
  </si>
  <si>
    <t>TXN-20740</t>
  </si>
  <si>
    <t>TXN-20741</t>
  </si>
  <si>
    <t>TXN-20742</t>
  </si>
  <si>
    <t>TXN-20743</t>
  </si>
  <si>
    <t>TXN-20744</t>
  </si>
  <si>
    <t>TXN-20745</t>
  </si>
  <si>
    <t>TXN-20746</t>
  </si>
  <si>
    <t>TXN-20747</t>
  </si>
  <si>
    <t>TXN-20748</t>
  </si>
  <si>
    <t>TXN-20749</t>
  </si>
  <si>
    <t>TXN-20750</t>
  </si>
  <si>
    <t>TXN-20751</t>
  </si>
  <si>
    <t>TXN-20752</t>
  </si>
  <si>
    <t>TXN-20753</t>
  </si>
  <si>
    <t>TXN-20754</t>
  </si>
  <si>
    <t>TXN-20755</t>
  </si>
  <si>
    <t>TXN-20756</t>
  </si>
  <si>
    <t>TXN-20757</t>
  </si>
  <si>
    <t>TXN-20758</t>
  </si>
  <si>
    <t>TXN-20759</t>
  </si>
  <si>
    <t>TXN-20760</t>
  </si>
  <si>
    <t>TXN-20761</t>
  </si>
  <si>
    <t>TXN-20762</t>
  </si>
  <si>
    <t>TXN-20763</t>
  </si>
  <si>
    <t>TXN-20764</t>
  </si>
  <si>
    <t>TXN-20765</t>
  </si>
  <si>
    <t>TXN-20766</t>
  </si>
  <si>
    <t>TXN-20767</t>
  </si>
  <si>
    <t>TXN-20768</t>
  </si>
  <si>
    <t>TXN-20769</t>
  </si>
  <si>
    <t>TXN-20770</t>
  </si>
  <si>
    <t>TXN-20771</t>
  </si>
  <si>
    <t>TXN-20772</t>
  </si>
  <si>
    <t>TXN-20773</t>
  </si>
  <si>
    <t>TXN-20774</t>
  </si>
  <si>
    <t>TXN-20775</t>
  </si>
  <si>
    <t>TXN-20776</t>
  </si>
  <si>
    <t>TXN-20777</t>
  </si>
  <si>
    <t>TXN-20778</t>
  </si>
  <si>
    <t>TXN-20779</t>
  </si>
  <si>
    <t>TXN-20780</t>
  </si>
  <si>
    <t>TXN-20781</t>
  </si>
  <si>
    <t>TXN-20782</t>
  </si>
  <si>
    <t>TXN-20783</t>
  </si>
  <si>
    <t>TXN-20784</t>
  </si>
  <si>
    <t>TXN-20785</t>
  </si>
  <si>
    <t>TXN-20786</t>
  </si>
  <si>
    <t>TXN-20787</t>
  </si>
  <si>
    <t>TXN-20788</t>
  </si>
  <si>
    <t>TXN-20789</t>
  </si>
  <si>
    <t>TXN-20790</t>
  </si>
  <si>
    <t>TXN-20791</t>
  </si>
  <si>
    <t>TXN-20792</t>
  </si>
  <si>
    <t>TXN-20793</t>
  </si>
  <si>
    <t>TXN-20794</t>
  </si>
  <si>
    <t>TXN-20795</t>
  </si>
  <si>
    <t>TXN-20796</t>
  </si>
  <si>
    <t>TXN-20797</t>
  </si>
  <si>
    <t>TXN-20798</t>
  </si>
  <si>
    <t>TXN-20799</t>
  </si>
  <si>
    <t>TXN-20800</t>
  </si>
  <si>
    <t>TXN-20801</t>
  </si>
  <si>
    <t>TXN-20802</t>
  </si>
  <si>
    <t>TXN-20803</t>
  </si>
  <si>
    <t>TXN-20804</t>
  </si>
  <si>
    <t>TXN-20805</t>
  </si>
  <si>
    <t>TXN-20806</t>
  </si>
  <si>
    <t>TXN-20807</t>
  </si>
  <si>
    <t>TXN-20808</t>
  </si>
  <si>
    <t>TXN-20809</t>
  </si>
  <si>
    <t>TXN-20810</t>
  </si>
  <si>
    <t>TXN-20811</t>
  </si>
  <si>
    <t>TXN-20812</t>
  </si>
  <si>
    <t>TXN-20813</t>
  </si>
  <si>
    <t>TXN-20814</t>
  </si>
  <si>
    <t>TXN-20815</t>
  </si>
  <si>
    <t>TXN-20816</t>
  </si>
  <si>
    <t>TXN-20817</t>
  </si>
  <si>
    <t>TXN-20818</t>
  </si>
  <si>
    <t>TXN-20819</t>
  </si>
  <si>
    <t>TXN-20820</t>
  </si>
  <si>
    <t>TXN-20821</t>
  </si>
  <si>
    <t>TXN-20822</t>
  </si>
  <si>
    <t>TXN-20823</t>
  </si>
  <si>
    <t>TXN-20824</t>
  </si>
  <si>
    <t>TXN-20825</t>
  </si>
  <si>
    <t>TXN-20826</t>
  </si>
  <si>
    <t>TXN-20827</t>
  </si>
  <si>
    <t>TXN-20828</t>
  </si>
  <si>
    <t>TXN-20829</t>
  </si>
  <si>
    <t>TXN-20830</t>
  </si>
  <si>
    <t>TXN-20831</t>
  </si>
  <si>
    <t>TXN-20832</t>
  </si>
  <si>
    <t>TXN-20833</t>
  </si>
  <si>
    <t>TXN-20834</t>
  </si>
  <si>
    <t>TXN-20835</t>
  </si>
  <si>
    <t>TXN-20836</t>
  </si>
  <si>
    <t>TXN-20837</t>
  </si>
  <si>
    <t>TXN-20838</t>
  </si>
  <si>
    <t>TXN-20839</t>
  </si>
  <si>
    <t>TXN-20840</t>
  </si>
  <si>
    <t>TXN-20841</t>
  </si>
  <si>
    <t>TXN-20842</t>
  </si>
  <si>
    <t>TXN-20843</t>
  </si>
  <si>
    <t>TXN-20844</t>
  </si>
  <si>
    <t>TXN-20845</t>
  </si>
  <si>
    <t>TXN-20846</t>
  </si>
  <si>
    <t>TXN-20847</t>
  </si>
  <si>
    <t>TXN-20848</t>
  </si>
  <si>
    <t>TXN-20849</t>
  </si>
  <si>
    <t>TXN-20850</t>
  </si>
  <si>
    <t>TXN-20851</t>
  </si>
  <si>
    <t>TXN-20852</t>
  </si>
  <si>
    <t>TXN-20853</t>
  </si>
  <si>
    <t>TXN-20854</t>
  </si>
  <si>
    <t>TXN-20855</t>
  </si>
  <si>
    <t>TXN-20856</t>
  </si>
  <si>
    <t>TXN-20857</t>
  </si>
  <si>
    <t>TXN-20858</t>
  </si>
  <si>
    <t>TXN-20859</t>
  </si>
  <si>
    <t>TXN-20860</t>
  </si>
  <si>
    <t>TXN-20861</t>
  </si>
  <si>
    <t>TXN-20862</t>
  </si>
  <si>
    <t>TXN-20863</t>
  </si>
  <si>
    <t>TXN-20864</t>
  </si>
  <si>
    <t>TXN-20865</t>
  </si>
  <si>
    <t>TXN-20866</t>
  </si>
  <si>
    <t>TXN-20867</t>
  </si>
  <si>
    <t>TXN-20868</t>
  </si>
  <si>
    <t>TXN-20869</t>
  </si>
  <si>
    <t>TXN-20870</t>
  </si>
  <si>
    <t>TXN-20871</t>
  </si>
  <si>
    <t>TXN-20872</t>
  </si>
  <si>
    <t>TXN-20873</t>
  </si>
  <si>
    <t>TXN-20874</t>
  </si>
  <si>
    <t>TXN-20875</t>
  </si>
  <si>
    <t>TXN-20876</t>
  </si>
  <si>
    <t>TXN-20877</t>
  </si>
  <si>
    <t>TXN-20878</t>
  </si>
  <si>
    <t>TXN-20879</t>
  </si>
  <si>
    <t>TXN-20880</t>
  </si>
  <si>
    <t>TXN-20881</t>
  </si>
  <si>
    <t>TXN-20882</t>
  </si>
  <si>
    <t>TXN-20883</t>
  </si>
  <si>
    <t>TXN-20884</t>
  </si>
  <si>
    <t>TXN-20885</t>
  </si>
  <si>
    <t>TXN-20886</t>
  </si>
  <si>
    <t>TXN-20887</t>
  </si>
  <si>
    <t>TXN-20888</t>
  </si>
  <si>
    <t>TXN-20889</t>
  </si>
  <si>
    <t>TXN-20890</t>
  </si>
  <si>
    <t>TXN-20891</t>
  </si>
  <si>
    <t>TXN-20892</t>
  </si>
  <si>
    <t>TXN-20893</t>
  </si>
  <si>
    <t>TXN-20894</t>
  </si>
  <si>
    <t>TXN-20895</t>
  </si>
  <si>
    <t>TXN-20896</t>
  </si>
  <si>
    <t>TXN-20897</t>
  </si>
  <si>
    <t>TXN-20898</t>
  </si>
  <si>
    <t>TXN-20899</t>
  </si>
  <si>
    <t>TXN-20900</t>
  </si>
  <si>
    <t>TXN-20901</t>
  </si>
  <si>
    <t>TXN-20902</t>
  </si>
  <si>
    <t>TXN-20903</t>
  </si>
  <si>
    <t>TXN-20904</t>
  </si>
  <si>
    <t>TXN-20905</t>
  </si>
  <si>
    <t>TXN-20906</t>
  </si>
  <si>
    <t>TXN-20907</t>
  </si>
  <si>
    <t>TXN-20908</t>
  </si>
  <si>
    <t>TXN-20909</t>
  </si>
  <si>
    <t>TXN-20910</t>
  </si>
  <si>
    <t>TXN-20911</t>
  </si>
  <si>
    <t>TXN-20912</t>
  </si>
  <si>
    <t>TXN-20913</t>
  </si>
  <si>
    <t>TXN-20914</t>
  </si>
  <si>
    <t>TXN-20915</t>
  </si>
  <si>
    <t>TXN-20916</t>
  </si>
  <si>
    <t>TXN-20917</t>
  </si>
  <si>
    <t>TXN-20918</t>
  </si>
  <si>
    <t>TXN-20919</t>
  </si>
  <si>
    <t>TXN-20920</t>
  </si>
  <si>
    <t>TXN-20921</t>
  </si>
  <si>
    <t>TXN-20922</t>
  </si>
  <si>
    <t>TXN-20923</t>
  </si>
  <si>
    <t>TXN-20924</t>
  </si>
  <si>
    <t>TXN-20925</t>
  </si>
  <si>
    <t>TXN-20926</t>
  </si>
  <si>
    <t>TXN-20927</t>
  </si>
  <si>
    <t>TXN-20928</t>
  </si>
  <si>
    <t>TXN-20929</t>
  </si>
  <si>
    <t>TXN-20930</t>
  </si>
  <si>
    <t>TXN-20931</t>
  </si>
  <si>
    <t>TXN-20932</t>
  </si>
  <si>
    <t>TXN-20933</t>
  </si>
  <si>
    <t>TXN-20934</t>
  </si>
  <si>
    <t>TXN-20935</t>
  </si>
  <si>
    <t>TXN-20936</t>
  </si>
  <si>
    <t>TXN-20937</t>
  </si>
  <si>
    <t>TXN-20938</t>
  </si>
  <si>
    <t>TXN-20939</t>
  </si>
  <si>
    <t>TXN-20940</t>
  </si>
  <si>
    <t>TXN-20941</t>
  </si>
  <si>
    <t>TXN-20942</t>
  </si>
  <si>
    <t>TXN-20943</t>
  </si>
  <si>
    <t>TXN-20944</t>
  </si>
  <si>
    <t>TXN-20945</t>
  </si>
  <si>
    <t>TXN-20946</t>
  </si>
  <si>
    <t>TXN-20947</t>
  </si>
  <si>
    <t>TXN-20948</t>
  </si>
  <si>
    <t>TXN-20949</t>
  </si>
  <si>
    <t>TXN-20950</t>
  </si>
  <si>
    <t>TXN-20951</t>
  </si>
  <si>
    <t>TXN-20952</t>
  </si>
  <si>
    <t>TXN-20953</t>
  </si>
  <si>
    <t>TXN-20954</t>
  </si>
  <si>
    <t>TXN-20955</t>
  </si>
  <si>
    <t>TXN-20956</t>
  </si>
  <si>
    <t>TXN-20957</t>
  </si>
  <si>
    <t>TXN-20958</t>
  </si>
  <si>
    <t>TXN-20959</t>
  </si>
  <si>
    <t>TXN-20960</t>
  </si>
  <si>
    <t>TXN-20961</t>
  </si>
  <si>
    <t>TXN-20962</t>
  </si>
  <si>
    <t>TXN-20963</t>
  </si>
  <si>
    <t>TXN-20964</t>
  </si>
  <si>
    <t>TXN-20965</t>
  </si>
  <si>
    <t>TXN-20966</t>
  </si>
  <si>
    <t>TXN-20967</t>
  </si>
  <si>
    <t>TXN-20968</t>
  </si>
  <si>
    <t>TXN-20969</t>
  </si>
  <si>
    <t>TXN-20970</t>
  </si>
  <si>
    <t>TXN-20971</t>
  </si>
  <si>
    <t>TXN-20972</t>
  </si>
  <si>
    <t>TXN-20973</t>
  </si>
  <si>
    <t>TXN-20974</t>
  </si>
  <si>
    <t>TXN-20975</t>
  </si>
  <si>
    <t>TXN-20976</t>
  </si>
  <si>
    <t>TXN-20977</t>
  </si>
  <si>
    <t>TXN-20978</t>
  </si>
  <si>
    <t>TXN-20979</t>
  </si>
  <si>
    <t>TXN-20980</t>
  </si>
  <si>
    <t>TXN-20981</t>
  </si>
  <si>
    <t>TXN-20982</t>
  </si>
  <si>
    <t>TXN-20983</t>
  </si>
  <si>
    <t>TXN-20984</t>
  </si>
  <si>
    <t>TXN-20985</t>
  </si>
  <si>
    <t>TXN-20986</t>
  </si>
  <si>
    <t>TXN-20987</t>
  </si>
  <si>
    <t>TXN-20988</t>
  </si>
  <si>
    <t>TXN-20989</t>
  </si>
  <si>
    <t>TXN-20990</t>
  </si>
  <si>
    <t>TXN-20991</t>
  </si>
  <si>
    <t>TXN-20992</t>
  </si>
  <si>
    <t>TXN-20993</t>
  </si>
  <si>
    <t>TXN-20994</t>
  </si>
  <si>
    <t>TXN-20995</t>
  </si>
  <si>
    <t>TXN-20996</t>
  </si>
  <si>
    <t>TXN-20997</t>
  </si>
  <si>
    <t>TXN-20998</t>
  </si>
  <si>
    <t>TXN-20999</t>
  </si>
  <si>
    <t>TXN-21000</t>
  </si>
  <si>
    <t>Row Labels</t>
  </si>
  <si>
    <t>Grand Total</t>
  </si>
  <si>
    <t>2024</t>
  </si>
  <si>
    <t>2025</t>
  </si>
  <si>
    <t>Column Labels</t>
  </si>
  <si>
    <t>Sum of Amount</t>
  </si>
  <si>
    <t>(All)</t>
  </si>
  <si>
    <t>slicer 1</t>
  </si>
  <si>
    <t>slicer 2</t>
  </si>
  <si>
    <t>TOTAL INCOME</t>
  </si>
  <si>
    <t>TOTAL EXPENSE</t>
  </si>
  <si>
    <t>NET CASH FLOW</t>
  </si>
  <si>
    <t>expense by accout</t>
  </si>
  <si>
    <t>saving rate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</si>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</sst>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yy"/>
    <numFmt numFmtId="165" formatCode="&quot;₹&quot;\ #,##0.00;[Red]&quot;₹&quot;\ #,##0.00"/>
    <numFmt numFmtId="166" formatCode="&quot;₹&quot;\ #,##0.00"/>
    <numFmt numFmtId="167" formatCode="&quot;₹&quot;\ #,##0.\3"/>
  </numFmts>
  <fonts count="5" x14ac:knownFonts="1">
    <font>
      <sz val="11"/>
      <color theme="1"/>
      <name val="Aptos Narrow"/>
      <family val="2"/>
      <scheme val="minor"/>
    </font>
    <font>
      <b/>
      <sz val="11"/>
      <color rgb="FFFFFFFF"/>
      <name val="Aptos Narrow"/>
      <family val="2"/>
      <scheme val="minor"/>
    </font>
    <font>
      <b/>
      <sz val="14"/>
      <color theme="1"/>
      <name val="Aptos Narrow"/>
      <family val="2"/>
      <scheme val="minor"/>
    </font>
    <font>
      <u/>
      <sz val="11"/>
      <color theme="1"/>
      <name val="Aptos Narrow"/>
      <family val="2"/>
      <scheme val="minor"/>
    </font>
    <font>
      <b/>
      <sz val="16"/>
      <color rgb="FF000000"/>
      <name val="Segoe UI Semibold"/>
      <family val="2"/>
    </font>
  </fonts>
  <fills count="3">
    <fill>
      <patternFill patternType="none"/>
    </fill>
    <fill>
      <patternFill patternType="gray125"/>
    </fill>
    <fill>
      <patternFill patternType="solid">
        <fgColor rgb="FF4472C4"/>
        <bgColor indexed="64"/>
      </patternFill>
    </fill>
  </fills>
  <borders count="11">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165" fontId="0" fillId="0" borderId="0" xfId="0" applyNumberFormat="1"/>
    <xf numFmtId="0" fontId="1" fillId="2" borderId="0" xfId="0" applyFont="1" applyFill="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pivotButton="1"/>
    <xf numFmtId="0" fontId="0" fillId="0" borderId="0" xfId="0" applyAlignment="1">
      <alignment horizontal="left"/>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0" borderId="0" xfId="0" applyFont="1"/>
    <xf numFmtId="0" fontId="0" fillId="0" borderId="10" xfId="0" applyBorder="1"/>
    <xf numFmtId="166" fontId="0" fillId="0" borderId="10" xfId="0" applyNumberFormat="1" applyBorder="1"/>
    <xf numFmtId="0" fontId="3" fillId="0" borderId="0" xfId="0" applyFont="1"/>
    <xf numFmtId="167" fontId="0" fillId="0" borderId="0" xfId="0" applyNumberFormat="1"/>
    <xf numFmtId="166" fontId="0" fillId="0" borderId="0" xfId="0" applyNumberFormat="1"/>
    <xf numFmtId="10" fontId="0" fillId="0" borderId="0" xfId="0" applyNumberFormat="1"/>
  </cellXfs>
  <cellStyles count="1">
    <cellStyle name="Normal" xfId="0" builtinId="0"/>
  </cellStyles>
  <dxfs count="0"/>
  <tableStyles count="0" defaultTableStyle="TableStyleMedium2" defaultPivotStyle="PivotStyleLight16"/>
  <colors>
    <mruColors>
      <color rgb="FF0B3041"/>
      <color rgb="FF0033CC"/>
      <color rgb="FF000000"/>
      <color rgb="FF123452"/>
      <color rgb="FFF4F6F8"/>
      <color rgb="FF70AD47"/>
      <color rgb="FFF2F2F2"/>
      <color rgb="FF17365D"/>
      <color rgb="FFF5F7FB"/>
      <color rgb="FFF5F7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Finance(AutoRecovered)8788.xlsm]Sheet2!PivotTable1</c:name>
    <c:fmtId val="17"/>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IN"/>
              <a:t>Monthly Income VS Expense</a:t>
            </a:r>
          </a:p>
        </c:rich>
      </c:tx>
      <c:layout>
        <c:manualLayout>
          <c:xMode val="edge"/>
          <c:yMode val="edge"/>
          <c:x val="0.19947857168158833"/>
          <c:y val="0.1317954058930036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IN"/>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Sheet2!$B$2:$B$3</c:f>
              <c:strCache>
                <c:ptCount val="1"/>
                <c:pt idx="0">
                  <c:v>Expense</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Sheet2!$A$4:$A$6</c:f>
              <c:strCache>
                <c:ptCount val="2"/>
                <c:pt idx="0">
                  <c:v>2024</c:v>
                </c:pt>
                <c:pt idx="1">
                  <c:v>2025</c:v>
                </c:pt>
              </c:strCache>
            </c:strRef>
          </c:cat>
          <c:val>
            <c:numRef>
              <c:f>Sheet2!$B$4:$B$6</c:f>
              <c:numCache>
                <c:formatCode>"₹"\ #,##0.00;[Red]"₹"\ #,##0.00</c:formatCode>
                <c:ptCount val="2"/>
                <c:pt idx="0">
                  <c:v>48074.37999999999</c:v>
                </c:pt>
                <c:pt idx="1">
                  <c:v>44905.919999999991</c:v>
                </c:pt>
              </c:numCache>
            </c:numRef>
          </c:val>
          <c:extLst>
            <c:ext xmlns:c16="http://schemas.microsoft.com/office/drawing/2014/chart" uri="{C3380CC4-5D6E-409C-BE32-E72D297353CC}">
              <c16:uniqueId val="{00000000-DE78-4A0A-83D3-4A6502C91DEB}"/>
            </c:ext>
          </c:extLst>
        </c:ser>
        <c:ser>
          <c:idx val="1"/>
          <c:order val="1"/>
          <c:tx>
            <c:strRef>
              <c:f>Sheet2!$C$2:$C$3</c:f>
              <c:strCache>
                <c:ptCount val="1"/>
                <c:pt idx="0">
                  <c:v>Income</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Sheet2!$A$4:$A$6</c:f>
              <c:strCache>
                <c:ptCount val="2"/>
                <c:pt idx="0">
                  <c:v>2024</c:v>
                </c:pt>
                <c:pt idx="1">
                  <c:v>2025</c:v>
                </c:pt>
              </c:strCache>
            </c:strRef>
          </c:cat>
          <c:val>
            <c:numRef>
              <c:f>Sheet2!$C$4:$C$6</c:f>
              <c:numCache>
                <c:formatCode>"₹"\ #,##0.00;[Red]"₹"\ #,##0.00</c:formatCode>
                <c:ptCount val="2"/>
                <c:pt idx="0">
                  <c:v>102602.73</c:v>
                </c:pt>
                <c:pt idx="1">
                  <c:v>106131.10999999999</c:v>
                </c:pt>
              </c:numCache>
            </c:numRef>
          </c:val>
          <c:extLst>
            <c:ext xmlns:c16="http://schemas.microsoft.com/office/drawing/2014/chart" uri="{C3380CC4-5D6E-409C-BE32-E72D297353CC}">
              <c16:uniqueId val="{00000002-16D9-44DD-81DC-68169439EDF8}"/>
            </c:ext>
          </c:extLst>
        </c:ser>
        <c:dLbls>
          <c:dLblPos val="inEnd"/>
          <c:showLegendKey val="0"/>
          <c:showVal val="1"/>
          <c:showCatName val="0"/>
          <c:showSerName val="0"/>
          <c:showPercent val="0"/>
          <c:showBubbleSize val="0"/>
        </c:dLbls>
        <c:gapWidth val="326"/>
        <c:overlap val="-58"/>
        <c:axId val="265251887"/>
        <c:axId val="2123868847"/>
      </c:barChart>
      <c:catAx>
        <c:axId val="265251887"/>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3868847"/>
        <c:crosses val="autoZero"/>
        <c:auto val="1"/>
        <c:lblAlgn val="ctr"/>
        <c:lblOffset val="100"/>
        <c:noMultiLvlLbl val="0"/>
      </c:catAx>
      <c:valAx>
        <c:axId val="2123868847"/>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quot;₹&quot;\ #,##0.00;[Red]&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251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Finance(AutoRecovered)8788.xlsm]Sheet2!PivotTable2</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Expense by category</a:t>
            </a:r>
          </a:p>
        </c:rich>
      </c:tx>
      <c:layout>
        <c:manualLayout>
          <c:xMode val="edge"/>
          <c:yMode val="edge"/>
          <c:x val="0.28317753157601067"/>
          <c:y val="5.727168406780398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6.2556800889369824E-2"/>
          <c:y val="0.17814505842422965"/>
          <c:w val="0.69200444262211924"/>
          <c:h val="0.71559484111395721"/>
        </c:manualLayout>
      </c:layout>
      <c:pieChart>
        <c:varyColors val="1"/>
        <c:ser>
          <c:idx val="0"/>
          <c:order val="0"/>
          <c:tx>
            <c:strRef>
              <c:f>Sheet2!$M$2:$M$3</c:f>
              <c:strCache>
                <c:ptCount val="1"/>
                <c:pt idx="0">
                  <c:v>Expense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D990-4337-819E-4BA4F6C3AB3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D990-4337-819E-4BA4F6C3AB3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D990-4337-819E-4BA4F6C3AB3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D990-4337-819E-4BA4F6C3AB3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D990-4337-819E-4BA4F6C3AB3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B-D990-4337-819E-4BA4F6C3AB3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D-D990-4337-819E-4BA4F6C3AB3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F-D990-4337-819E-4BA4F6C3AB3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Sheet2!$L$4:$L$11</c:f>
              <c:strCache>
                <c:ptCount val="7"/>
                <c:pt idx="0">
                  <c:v>Dining</c:v>
                </c:pt>
                <c:pt idx="1">
                  <c:v>Freelance</c:v>
                </c:pt>
                <c:pt idx="2">
                  <c:v>Groceries</c:v>
                </c:pt>
                <c:pt idx="3">
                  <c:v>Rent</c:v>
                </c:pt>
                <c:pt idx="4">
                  <c:v>Salary</c:v>
                </c:pt>
                <c:pt idx="5">
                  <c:v>Transport</c:v>
                </c:pt>
                <c:pt idx="6">
                  <c:v>Utilities</c:v>
                </c:pt>
              </c:strCache>
            </c:strRef>
          </c:cat>
          <c:val>
            <c:numRef>
              <c:f>Sheet2!$M$4:$M$11</c:f>
              <c:numCache>
                <c:formatCode>"₹"\ #,##0.00;[Red]"₹"\ #,##0.00</c:formatCode>
                <c:ptCount val="7"/>
                <c:pt idx="0">
                  <c:v>13155.970000000003</c:v>
                </c:pt>
                <c:pt idx="2">
                  <c:v>21840.789999999997</c:v>
                </c:pt>
                <c:pt idx="3">
                  <c:v>34880.649999999994</c:v>
                </c:pt>
                <c:pt idx="5">
                  <c:v>7752.1200000000026</c:v>
                </c:pt>
                <c:pt idx="6">
                  <c:v>9617.2499999999982</c:v>
                </c:pt>
              </c:numCache>
            </c:numRef>
          </c:val>
          <c:extLst>
            <c:ext xmlns:c16="http://schemas.microsoft.com/office/drawing/2014/chart" uri="{C3380CC4-5D6E-409C-BE32-E72D297353CC}">
              <c16:uniqueId val="{00000000-A96E-413A-9128-A8C68E03E064}"/>
            </c:ext>
          </c:extLst>
        </c:ser>
        <c:ser>
          <c:idx val="1"/>
          <c:order val="1"/>
          <c:tx>
            <c:strRef>
              <c:f>Sheet2!$N$2:$N$3</c:f>
              <c:strCache>
                <c:ptCount val="1"/>
                <c:pt idx="0">
                  <c:v>Income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1-BE2F-4CA9-AA40-1F6A58B8FD1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3-BE2F-4CA9-AA40-1F6A58B8FD1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5-BE2F-4CA9-AA40-1F6A58B8FD1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7-BE2F-4CA9-AA40-1F6A58B8FD1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9-BE2F-4CA9-AA40-1F6A58B8FD1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1B-BE2F-4CA9-AA40-1F6A58B8FD1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D-BE2F-4CA9-AA40-1F6A58B8FD1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Sheet2!$L$4:$L$11</c:f>
              <c:strCache>
                <c:ptCount val="7"/>
                <c:pt idx="0">
                  <c:v>Dining</c:v>
                </c:pt>
                <c:pt idx="1">
                  <c:v>Freelance</c:v>
                </c:pt>
                <c:pt idx="2">
                  <c:v>Groceries</c:v>
                </c:pt>
                <c:pt idx="3">
                  <c:v>Rent</c:v>
                </c:pt>
                <c:pt idx="4">
                  <c:v>Salary</c:v>
                </c:pt>
                <c:pt idx="5">
                  <c:v>Transport</c:v>
                </c:pt>
                <c:pt idx="6">
                  <c:v>Utilities</c:v>
                </c:pt>
              </c:strCache>
            </c:strRef>
          </c:cat>
          <c:val>
            <c:numRef>
              <c:f>Sheet2!$N$4:$N$11</c:f>
              <c:numCache>
                <c:formatCode>"₹"\ #,##0.00;[Red]"₹"\ #,##0.00</c:formatCode>
                <c:ptCount val="7"/>
                <c:pt idx="1">
                  <c:v>35682.039999999986</c:v>
                </c:pt>
                <c:pt idx="4">
                  <c:v>173051.8</c:v>
                </c:pt>
              </c:numCache>
            </c:numRef>
          </c:val>
          <c:extLst>
            <c:ext xmlns:c16="http://schemas.microsoft.com/office/drawing/2014/chart" uri="{C3380CC4-5D6E-409C-BE32-E72D297353CC}">
              <c16:uniqueId val="{00000020-D09C-4412-A7EC-F1271720874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4961111205045394"/>
          <c:y val="0.35789029355816965"/>
          <c:w val="0.20131286634912776"/>
          <c:h val="0.435825802044126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Finance(AutoRecovered)8788.xlsm]Sheet2!PivotTable3</c:name>
    <c:fmtId val="1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Income By Source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Sheet2!$C$29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Sheet2!$B$30:$B$32</c:f>
              <c:strCache>
                <c:ptCount val="2"/>
                <c:pt idx="0">
                  <c:v>Freelance</c:v>
                </c:pt>
                <c:pt idx="1">
                  <c:v>Salary</c:v>
                </c:pt>
              </c:strCache>
            </c:strRef>
          </c:cat>
          <c:val>
            <c:numRef>
              <c:f>Sheet2!$C$30:$C$32</c:f>
              <c:numCache>
                <c:formatCode>"₹"\ #,##0.00;[Red]"₹"\ #,##0.00</c:formatCode>
                <c:ptCount val="2"/>
                <c:pt idx="0">
                  <c:v>35682.039999999994</c:v>
                </c:pt>
                <c:pt idx="1">
                  <c:v>173051.79999999996</c:v>
                </c:pt>
              </c:numCache>
            </c:numRef>
          </c:val>
          <c:extLst>
            <c:ext xmlns:c16="http://schemas.microsoft.com/office/drawing/2014/chart" uri="{C3380CC4-5D6E-409C-BE32-E72D297353CC}">
              <c16:uniqueId val="{00000000-11C2-49CD-952A-AE0CB8833599}"/>
            </c:ext>
          </c:extLst>
        </c:ser>
        <c:dLbls>
          <c:dLblPos val="inEnd"/>
          <c:showLegendKey val="0"/>
          <c:showVal val="1"/>
          <c:showCatName val="0"/>
          <c:showSerName val="0"/>
          <c:showPercent val="0"/>
          <c:showBubbleSize val="0"/>
        </c:dLbls>
        <c:gapWidth val="100"/>
        <c:overlap val="-24"/>
        <c:axId val="790949856"/>
        <c:axId val="810671376"/>
      </c:barChart>
      <c:catAx>
        <c:axId val="79094985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0671376"/>
        <c:crosses val="autoZero"/>
        <c:auto val="1"/>
        <c:lblAlgn val="ctr"/>
        <c:lblOffset val="100"/>
        <c:noMultiLvlLbl val="0"/>
      </c:catAx>
      <c:valAx>
        <c:axId val="8106713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Red]&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949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Finance(AutoRecovered)8788.xlsm]Sheet2!PivotTable4</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Expense By Payment Method</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Sheet2!$B$44</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Sheet2!$A$45:$A$52</c:f>
              <c:strCache>
                <c:ptCount val="7"/>
                <c:pt idx="0">
                  <c:v>Auto-Pay</c:v>
                </c:pt>
                <c:pt idx="1">
                  <c:v>Cash</c:v>
                </c:pt>
                <c:pt idx="2">
                  <c:v>Check</c:v>
                </c:pt>
                <c:pt idx="3">
                  <c:v>Credit</c:v>
                </c:pt>
                <c:pt idx="4">
                  <c:v>Debit</c:v>
                </c:pt>
                <c:pt idx="5">
                  <c:v>Direct Deposit</c:v>
                </c:pt>
                <c:pt idx="6">
                  <c:v>Transfer</c:v>
                </c:pt>
              </c:strCache>
            </c:strRef>
          </c:cat>
          <c:val>
            <c:numRef>
              <c:f>Sheet2!$B$45:$B$52</c:f>
              <c:numCache>
                <c:formatCode>"₹"\ #,##0.00;[Red]"₹"\ #,##0.00</c:formatCode>
                <c:ptCount val="7"/>
                <c:pt idx="0">
                  <c:v>44497.9</c:v>
                </c:pt>
                <c:pt idx="1">
                  <c:v>6758.9599999999982</c:v>
                </c:pt>
                <c:pt idx="2">
                  <c:v>15755.62</c:v>
                </c:pt>
                <c:pt idx="3">
                  <c:v>21896.699999999997</c:v>
                </c:pt>
                <c:pt idx="4">
                  <c:v>19826.739999999998</c:v>
                </c:pt>
                <c:pt idx="5">
                  <c:v>173051.8</c:v>
                </c:pt>
                <c:pt idx="6">
                  <c:v>19926.419999999998</c:v>
                </c:pt>
              </c:numCache>
            </c:numRef>
          </c:val>
          <c:extLst>
            <c:ext xmlns:c16="http://schemas.microsoft.com/office/drawing/2014/chart" uri="{C3380CC4-5D6E-409C-BE32-E72D297353CC}">
              <c16:uniqueId val="{00000000-46DC-4762-BF41-41C68F8BED0E}"/>
            </c:ext>
          </c:extLst>
        </c:ser>
        <c:dLbls>
          <c:dLblPos val="outEnd"/>
          <c:showLegendKey val="0"/>
          <c:showVal val="1"/>
          <c:showCatName val="0"/>
          <c:showSerName val="0"/>
          <c:showPercent val="0"/>
          <c:showBubbleSize val="0"/>
        </c:dLbls>
        <c:gapWidth val="355"/>
        <c:overlap val="-70"/>
        <c:axId val="794304560"/>
        <c:axId val="810635376"/>
      </c:barChart>
      <c:catAx>
        <c:axId val="79430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0635376"/>
        <c:crosses val="autoZero"/>
        <c:auto val="1"/>
        <c:lblAlgn val="ctr"/>
        <c:lblOffset val="100"/>
        <c:noMultiLvlLbl val="0"/>
      </c:catAx>
      <c:valAx>
        <c:axId val="810635376"/>
        <c:scaling>
          <c:orientation val="minMax"/>
        </c:scaling>
        <c:delete val="0"/>
        <c:axPos val="l"/>
        <c:numFmt formatCode="&quot;₹&quot;\ #,##0.00;[Red]&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04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latin typeface="Arial Black" panose="020B0A04020102020204" pitchFamily="34" charset="0"/>
              </a:rPr>
              <a:t>TOP</a:t>
            </a:r>
            <a:r>
              <a:rPr lang="en-IN" b="1" baseline="0">
                <a:solidFill>
                  <a:schemeClr val="tx1"/>
                </a:solidFill>
                <a:latin typeface="Arial Black" panose="020B0A04020102020204" pitchFamily="34" charset="0"/>
              </a:rPr>
              <a:t> 10 EXPENSE MERCHANTS</a:t>
            </a:r>
            <a:endParaRPr lang="en-IN" b="1">
              <a:solidFill>
                <a:schemeClr val="tx1"/>
              </a:solidFill>
              <a:latin typeface="Arial Black" panose="020B0A04020102020204" pitchFamily="34" charset="0"/>
            </a:endParaRPr>
          </a:p>
        </c:rich>
      </c:tx>
      <c:layout>
        <c:manualLayout>
          <c:xMode val="edge"/>
          <c:yMode val="edge"/>
          <c:x val="0.28270788296824906"/>
          <c:y val="9.935066767832564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Sheet2!$B$64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Sheet2!$A$65:$A$75</c:f>
              <c:strCache>
                <c:ptCount val="10"/>
                <c:pt idx="0">
                  <c:v>Upwork Transfer</c:v>
                </c:pt>
                <c:pt idx="1">
                  <c:v>Property Management LLC</c:v>
                </c:pt>
                <c:pt idx="2">
                  <c:v>Landlord Payment</c:v>
                </c:pt>
                <c:pt idx="3">
                  <c:v>Fiverr Earnings</c:v>
                </c:pt>
                <c:pt idx="4">
                  <c:v>Employer Direct Deposit</c:v>
                </c:pt>
                <c:pt idx="5">
                  <c:v>Consulting Fee</c:v>
                </c:pt>
                <c:pt idx="6">
                  <c:v>Company Payroll</c:v>
                </c:pt>
                <c:pt idx="7">
                  <c:v>Client Payment</c:v>
                </c:pt>
                <c:pt idx="8">
                  <c:v>Apartment Complex</c:v>
                </c:pt>
                <c:pt idx="9">
                  <c:v>Aldi</c:v>
                </c:pt>
              </c:strCache>
            </c:strRef>
          </c:cat>
          <c:val>
            <c:numRef>
              <c:f>Sheet2!$B$65:$B$75</c:f>
              <c:numCache>
                <c:formatCode>"₹"\ #,##0.00;[Red]"₹"\ #,##0.00</c:formatCode>
                <c:ptCount val="10"/>
                <c:pt idx="0">
                  <c:v>10037.620000000001</c:v>
                </c:pt>
                <c:pt idx="1">
                  <c:v>6001.41</c:v>
                </c:pt>
                <c:pt idx="2">
                  <c:v>12390.999999999998</c:v>
                </c:pt>
                <c:pt idx="3">
                  <c:v>10813.83</c:v>
                </c:pt>
                <c:pt idx="4">
                  <c:v>83903.01</c:v>
                </c:pt>
                <c:pt idx="5">
                  <c:v>8763.57</c:v>
                </c:pt>
                <c:pt idx="6">
                  <c:v>89148.79</c:v>
                </c:pt>
                <c:pt idx="7">
                  <c:v>6067.0199999999995</c:v>
                </c:pt>
                <c:pt idx="8">
                  <c:v>16488.239999999998</c:v>
                </c:pt>
                <c:pt idx="9">
                  <c:v>3597.420000000001</c:v>
                </c:pt>
              </c:numCache>
            </c:numRef>
          </c:val>
          <c:extLst>
            <c:ext xmlns:c16="http://schemas.microsoft.com/office/drawing/2014/chart" uri="{C3380CC4-5D6E-409C-BE32-E72D297353CC}">
              <c16:uniqueId val="{00000000-11BD-43AB-8D53-F540D8F5B748}"/>
            </c:ext>
          </c:extLst>
        </c:ser>
        <c:dLbls>
          <c:dLblPos val="outEnd"/>
          <c:showLegendKey val="0"/>
          <c:showVal val="1"/>
          <c:showCatName val="0"/>
          <c:showSerName val="0"/>
          <c:showPercent val="0"/>
          <c:showBubbleSize val="0"/>
        </c:dLbls>
        <c:gapWidth val="219"/>
        <c:axId val="930922416"/>
        <c:axId val="810658416"/>
      </c:barChart>
      <c:catAx>
        <c:axId val="93092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0658416"/>
        <c:crosses val="autoZero"/>
        <c:auto val="1"/>
        <c:lblAlgn val="ctr"/>
        <c:lblOffset val="100"/>
        <c:noMultiLvlLbl val="0"/>
      </c:catAx>
      <c:valAx>
        <c:axId val="8106584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Red]&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922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Sheet2!$D$111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4F3-4B17-9841-C1025755B0A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4F3-4B17-9841-C1025755B0A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D63-45FC-92F2-D6E8B4202E98}"/>
              </c:ext>
            </c:extLst>
          </c:dPt>
          <c:cat>
            <c:strRef>
              <c:f>Sheet2!$C$112:$C$115</c:f>
              <c:strCache>
                <c:ptCount val="3"/>
                <c:pt idx="0">
                  <c:v>Checking</c:v>
                </c:pt>
                <c:pt idx="1">
                  <c:v>Credit Card</c:v>
                </c:pt>
                <c:pt idx="2">
                  <c:v>Savings</c:v>
                </c:pt>
              </c:strCache>
            </c:strRef>
          </c:cat>
          <c:val>
            <c:numRef>
              <c:f>Sheet2!$D$112:$D$115</c:f>
              <c:numCache>
                <c:formatCode>"₹"\ #,##0.00;[Red]"₹"\ #,##0.00</c:formatCode>
                <c:ptCount val="3"/>
                <c:pt idx="0">
                  <c:v>257842.1099999999</c:v>
                </c:pt>
                <c:pt idx="1">
                  <c:v>26563.389999999992</c:v>
                </c:pt>
                <c:pt idx="2">
                  <c:v>17308.64</c:v>
                </c:pt>
              </c:numCache>
            </c:numRef>
          </c:val>
          <c:extLst>
            <c:ext xmlns:c16="http://schemas.microsoft.com/office/drawing/2014/chart" uri="{C3380CC4-5D6E-409C-BE32-E72D297353CC}">
              <c16:uniqueId val="{00000000-A600-4316-BCD9-1E1BAE55A246}"/>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Finance(AutoRecovered)8788.xlsm]Sheet2!PivotTable1</c:name>
    <c:fmtId val="32"/>
  </c:pivotSource>
  <c:chart>
    <c:title>
      <c:tx>
        <c:rich>
          <a:bodyPr rot="0" spcFirstLastPara="1" vertOverflow="ellipsis" vert="horz" wrap="square" anchor="ctr" anchorCtr="1"/>
          <a:lstStyle/>
          <a:p>
            <a:pPr>
              <a:defRPr sz="1200" b="1" i="0" u="none" strike="noStrike" kern="1200" cap="all" spc="50" baseline="0">
                <a:solidFill>
                  <a:schemeClr val="tx1">
                    <a:lumMod val="65000"/>
                    <a:lumOff val="35000"/>
                  </a:schemeClr>
                </a:solidFill>
                <a:latin typeface="+mn-lt"/>
                <a:ea typeface="+mn-ea"/>
                <a:cs typeface="+mn-cs"/>
              </a:defRPr>
            </a:pPr>
            <a:r>
              <a:rPr lang="en-IN" sz="1200">
                <a:solidFill>
                  <a:schemeClr val="tx1"/>
                </a:solidFill>
                <a:latin typeface="Arial Black" panose="020B0A04020102020204" pitchFamily="34" charset="0"/>
              </a:rPr>
              <a:t>Monthly Income VS Expense</a:t>
            </a:r>
          </a:p>
        </c:rich>
      </c:tx>
      <c:layout>
        <c:manualLayout>
          <c:xMode val="edge"/>
          <c:yMode val="edge"/>
          <c:x val="0.1869383482921427"/>
          <c:y val="4.8337222578319045E-2"/>
        </c:manualLayout>
      </c:layout>
      <c:overlay val="0"/>
      <c:spPr>
        <a:noFill/>
        <a:ln>
          <a:noFill/>
        </a:ln>
        <a:effectLst/>
      </c:spPr>
      <c:txPr>
        <a:bodyPr rot="0" spcFirstLastPara="1" vertOverflow="ellipsis" vert="horz" wrap="square" anchor="ctr" anchorCtr="1"/>
        <a:lstStyle/>
        <a:p>
          <a:pPr>
            <a:defRPr sz="1200" b="1" i="0" u="none" strike="noStrike" kern="1200" cap="all" spc="50" baseline="0">
              <a:solidFill>
                <a:schemeClr val="tx1">
                  <a:lumMod val="65000"/>
                  <a:lumOff val="35000"/>
                </a:schemeClr>
              </a:solidFill>
              <a:latin typeface="+mn-lt"/>
              <a:ea typeface="+mn-ea"/>
              <a:cs typeface="+mn-cs"/>
            </a:defRPr>
          </a:pPr>
          <a:endParaRPr lang="en-IN"/>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pPr>
            <a:gradFill>
              <a:gsLst>
                <a:gs pos="0">
                  <a:schemeClr val="accent1"/>
                </a:gs>
                <a:gs pos="46000">
                  <a:schemeClr val="accent1"/>
                </a:gs>
                <a:gs pos="100000">
                  <a:schemeClr val="accent1">
                    <a:lumMod val="20000"/>
                    <a:lumOff val="80000"/>
                    <a:alpha val="0"/>
                  </a:schemeClr>
                </a:gs>
              </a:gsLst>
              <a:path path="circle">
                <a:fillToRect l="50000" t="-80000" r="50000" b="180000"/>
              </a:path>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pPr>
            <a:gradFill>
              <a:gsLst>
                <a:gs pos="0">
                  <a:schemeClr val="accent2"/>
                </a:gs>
                <a:gs pos="46000">
                  <a:schemeClr val="accent2"/>
                </a:gs>
                <a:gs pos="100000">
                  <a:schemeClr val="accent2">
                    <a:lumMod val="20000"/>
                    <a:lumOff val="80000"/>
                    <a:alpha val="0"/>
                  </a:schemeClr>
                </a:gs>
              </a:gsLst>
              <a:path path="circle">
                <a:fillToRect l="50000" t="-80000" r="50000" b="180000"/>
              </a:path>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gradFill flip="none" rotWithShape="1">
            <a:gsLst>
              <a:gs pos="0">
                <a:schemeClr val="accent1">
                  <a:lumMod val="5000"/>
                  <a:lumOff val="95000"/>
                </a:schemeClr>
              </a:gs>
              <a:gs pos="0">
                <a:srgbClr val="0B3041"/>
              </a:gs>
              <a:gs pos="0">
                <a:schemeClr val="accent1">
                  <a:lumMod val="50000"/>
                </a:schemeClr>
              </a:gs>
              <a:gs pos="100000">
                <a:schemeClr val="accent1">
                  <a:lumMod val="40000"/>
                  <a:lumOff val="60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1">
                  <a:lumMod val="50000"/>
                </a:schemeClr>
              </a:gs>
              <a:gs pos="0">
                <a:schemeClr val="accent1">
                  <a:lumMod val="45000"/>
                  <a:lumOff val="55000"/>
                </a:schemeClr>
              </a:gs>
              <a:gs pos="0">
                <a:srgbClr val="123452"/>
              </a:gs>
              <a:gs pos="99000">
                <a:schemeClr val="tx2">
                  <a:lumMod val="25000"/>
                  <a:lumOff val="75000"/>
                </a:schemeClr>
              </a:gs>
            </a:gsLst>
            <a:lin ang="5400000" scaled="1"/>
            <a:tileRect/>
          </a:gradFill>
          <a:ln w="9525">
            <a:solidFill>
              <a:schemeClr val="tx1"/>
            </a:solid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gradFill flip="none" rotWithShape="1">
            <a:gsLst>
              <a:gs pos="0">
                <a:schemeClr val="accent1">
                  <a:lumMod val="50000"/>
                </a:schemeClr>
              </a:gs>
              <a:gs pos="0">
                <a:schemeClr val="accent1">
                  <a:lumMod val="45000"/>
                  <a:lumOff val="55000"/>
                </a:schemeClr>
              </a:gs>
              <a:gs pos="0">
                <a:srgbClr val="123452"/>
              </a:gs>
              <a:gs pos="99000">
                <a:schemeClr val="tx2">
                  <a:lumMod val="25000"/>
                  <a:lumOff val="75000"/>
                </a:schemeClr>
              </a:gs>
            </a:gsLst>
            <a:lin ang="5400000" scaled="1"/>
            <a:tileRect/>
          </a:gradFill>
          <a:ln w="9525">
            <a:solidFill>
              <a:schemeClr val="tx1"/>
            </a:solidFill>
          </a:ln>
          <a:effectLst>
            <a:outerShdw blurRad="50800" dist="38100" dir="5400000" algn="t" rotWithShape="0">
              <a:prstClr val="black">
                <a:alpha val="40000"/>
              </a:prstClr>
            </a:outerShdw>
          </a:effectLst>
        </c:spPr>
        <c:dLbl>
          <c:idx val="0"/>
          <c:layout>
            <c:manualLayout>
              <c:x val="-2.0488972356100142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1">
                  <a:lumMod val="50000"/>
                </a:schemeClr>
              </a:gs>
              <a:gs pos="0">
                <a:schemeClr val="accent1">
                  <a:lumMod val="45000"/>
                  <a:lumOff val="55000"/>
                </a:schemeClr>
              </a:gs>
              <a:gs pos="0">
                <a:srgbClr val="123452"/>
              </a:gs>
              <a:gs pos="99000">
                <a:schemeClr val="tx2">
                  <a:lumMod val="25000"/>
                  <a:lumOff val="75000"/>
                </a:schemeClr>
              </a:gs>
            </a:gsLst>
            <a:lin ang="5400000" scaled="1"/>
            <a:tileRect/>
          </a:gradFill>
          <a:ln w="9525">
            <a:solidFill>
              <a:schemeClr val="tx1"/>
            </a:solidFill>
          </a:ln>
          <a:effectLst>
            <a:outerShdw blurRad="50800" dist="38100" dir="5400000" algn="t" rotWithShape="0">
              <a:prstClr val="black">
                <a:alpha val="40000"/>
              </a:prstClr>
            </a:outerShdw>
          </a:effectLst>
        </c:spPr>
        <c:dLbl>
          <c:idx val="0"/>
          <c:layout>
            <c:manualLayout>
              <c:x val="5.9079852327778241E-3"/>
              <c:y val="-5.287566599399382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chemeClr val="accent1">
                  <a:lumMod val="5000"/>
                  <a:lumOff val="95000"/>
                </a:schemeClr>
              </a:gs>
              <a:gs pos="0">
                <a:srgbClr val="0B3041"/>
              </a:gs>
              <a:gs pos="0">
                <a:schemeClr val="accent1">
                  <a:lumMod val="50000"/>
                </a:schemeClr>
              </a:gs>
              <a:gs pos="100000">
                <a:schemeClr val="accent1">
                  <a:lumMod val="40000"/>
                  <a:lumOff val="60000"/>
                </a:schemeClr>
              </a:gs>
            </a:gsLst>
            <a:lin ang="5400000" scaled="1"/>
            <a:tileRect/>
          </a:gradFill>
          <a:ln>
            <a:noFill/>
          </a:ln>
          <a:effectLst/>
        </c:spPr>
        <c:dLbl>
          <c:idx val="0"/>
          <c:layout>
            <c:manualLayout>
              <c:x val="-3.670033722771564E-3"/>
              <c:y val="-4.8468800578774047E-17"/>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Arial Black" panose="020B0A04020102020204"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chemeClr val="accent1">
                  <a:lumMod val="5000"/>
                  <a:lumOff val="95000"/>
                </a:schemeClr>
              </a:gs>
              <a:gs pos="0">
                <a:srgbClr val="0B3041"/>
              </a:gs>
              <a:gs pos="0">
                <a:schemeClr val="accent1">
                  <a:lumMod val="50000"/>
                </a:schemeClr>
              </a:gs>
              <a:gs pos="100000">
                <a:schemeClr val="accent1">
                  <a:lumMod val="40000"/>
                  <a:lumOff val="60000"/>
                </a:schemeClr>
              </a:gs>
            </a:gsLst>
            <a:lin ang="5400000" scaled="1"/>
            <a:tileRect/>
          </a:gradFill>
          <a:ln>
            <a:noFill/>
          </a:ln>
          <a:effectLst/>
        </c:spPr>
        <c:dLbl>
          <c:idx val="0"/>
          <c:layout>
            <c:manualLayout>
              <c:x val="-3.670033722771564E-3"/>
              <c:y val="0"/>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Arial Black" panose="020B0A04020102020204"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Sheet2!$B$2:$B$3</c:f>
              <c:strCache>
                <c:ptCount val="1"/>
                <c:pt idx="0">
                  <c:v>Expense</c:v>
                </c:pt>
              </c:strCache>
            </c:strRef>
          </c:tx>
          <c:spPr>
            <a:gradFill flip="none" rotWithShape="1">
              <a:gsLst>
                <a:gs pos="0">
                  <a:schemeClr val="accent1">
                    <a:lumMod val="5000"/>
                    <a:lumOff val="95000"/>
                  </a:schemeClr>
                </a:gs>
                <a:gs pos="0">
                  <a:srgbClr val="0B3041"/>
                </a:gs>
                <a:gs pos="0">
                  <a:schemeClr val="accent1">
                    <a:lumMod val="50000"/>
                  </a:schemeClr>
                </a:gs>
                <a:gs pos="100000">
                  <a:schemeClr val="accent1">
                    <a:lumMod val="40000"/>
                    <a:lumOff val="60000"/>
                  </a:schemeClr>
                </a:gs>
              </a:gsLst>
              <a:lin ang="5400000" scaled="1"/>
              <a:tileRect/>
            </a:gradFill>
            <a:ln>
              <a:noFill/>
            </a:ln>
            <a:effectLst/>
          </c:spPr>
          <c:invertIfNegative val="0"/>
          <c:dPt>
            <c:idx val="0"/>
            <c:invertIfNegative val="0"/>
            <c:bubble3D val="0"/>
            <c:spPr>
              <a:gradFill flip="none" rotWithShape="1">
                <a:gsLst>
                  <a:gs pos="0">
                    <a:schemeClr val="accent1">
                      <a:lumMod val="5000"/>
                      <a:lumOff val="95000"/>
                    </a:schemeClr>
                  </a:gs>
                  <a:gs pos="0">
                    <a:srgbClr val="0B3041"/>
                  </a:gs>
                  <a:gs pos="0">
                    <a:schemeClr val="accent1">
                      <a:lumMod val="50000"/>
                    </a:schemeClr>
                  </a:gs>
                  <a:gs pos="100000">
                    <a:schemeClr val="accent1">
                      <a:lumMod val="40000"/>
                      <a:lumOff val="60000"/>
                    </a:schemeClr>
                  </a:gs>
                </a:gsLst>
                <a:lin ang="5400000" scaled="1"/>
                <a:tileRect/>
              </a:gradFill>
              <a:ln>
                <a:noFill/>
              </a:ln>
              <a:effectLst/>
            </c:spPr>
            <c:extLst>
              <c:ext xmlns:c16="http://schemas.microsoft.com/office/drawing/2014/chart" uri="{C3380CC4-5D6E-409C-BE32-E72D297353CC}">
                <c16:uniqueId val="{00000003-220E-4BFE-B3C4-CE7AD6BCE12A}"/>
              </c:ext>
            </c:extLst>
          </c:dPt>
          <c:dPt>
            <c:idx val="1"/>
            <c:invertIfNegative val="0"/>
            <c:bubble3D val="0"/>
            <c:spPr>
              <a:gradFill flip="none" rotWithShape="1">
                <a:gsLst>
                  <a:gs pos="0">
                    <a:schemeClr val="accent1">
                      <a:lumMod val="5000"/>
                      <a:lumOff val="95000"/>
                    </a:schemeClr>
                  </a:gs>
                  <a:gs pos="0">
                    <a:srgbClr val="0B3041"/>
                  </a:gs>
                  <a:gs pos="0">
                    <a:schemeClr val="accent1">
                      <a:lumMod val="50000"/>
                    </a:schemeClr>
                  </a:gs>
                  <a:gs pos="100000">
                    <a:schemeClr val="accent1">
                      <a:lumMod val="40000"/>
                      <a:lumOff val="60000"/>
                    </a:schemeClr>
                  </a:gs>
                </a:gsLst>
                <a:lin ang="5400000" scaled="1"/>
                <a:tileRect/>
              </a:gradFill>
              <a:ln>
                <a:noFill/>
              </a:ln>
              <a:effectLst/>
            </c:spPr>
            <c:extLst>
              <c:ext xmlns:c16="http://schemas.microsoft.com/office/drawing/2014/chart" uri="{C3380CC4-5D6E-409C-BE32-E72D297353CC}">
                <c16:uniqueId val="{00000002-220E-4BFE-B3C4-CE7AD6BCE12A}"/>
              </c:ext>
            </c:extLst>
          </c:dPt>
          <c:dLbls>
            <c:dLbl>
              <c:idx val="0"/>
              <c:layout>
                <c:manualLayout>
                  <c:x val="-3.670033722771564E-3"/>
                  <c:y val="0"/>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Arial Black" panose="020B0A04020102020204"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20E-4BFE-B3C4-CE7AD6BCE12A}"/>
                </c:ext>
              </c:extLst>
            </c:dLbl>
            <c:dLbl>
              <c:idx val="1"/>
              <c:layout>
                <c:manualLayout>
                  <c:x val="-3.670033722771564E-3"/>
                  <c:y val="-4.8468800578774047E-17"/>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Arial Black" panose="020B0A04020102020204"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20E-4BFE-B3C4-CE7AD6BCE12A}"/>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Sheet2!$A$4:$A$6</c:f>
              <c:strCache>
                <c:ptCount val="2"/>
                <c:pt idx="0">
                  <c:v>2024</c:v>
                </c:pt>
                <c:pt idx="1">
                  <c:v>2025</c:v>
                </c:pt>
              </c:strCache>
            </c:strRef>
          </c:cat>
          <c:val>
            <c:numRef>
              <c:f>Sheet2!$B$4:$B$6</c:f>
              <c:numCache>
                <c:formatCode>"₹"\ #,##0.00;[Red]"₹"\ #,##0.00</c:formatCode>
                <c:ptCount val="2"/>
                <c:pt idx="0">
                  <c:v>48074.37999999999</c:v>
                </c:pt>
                <c:pt idx="1">
                  <c:v>44905.919999999991</c:v>
                </c:pt>
              </c:numCache>
            </c:numRef>
          </c:val>
          <c:extLst>
            <c:ext xmlns:c16="http://schemas.microsoft.com/office/drawing/2014/chart" uri="{C3380CC4-5D6E-409C-BE32-E72D297353CC}">
              <c16:uniqueId val="{00000000-4E1D-4FB6-8D7D-EA407969FE6A}"/>
            </c:ext>
          </c:extLst>
        </c:ser>
        <c:ser>
          <c:idx val="1"/>
          <c:order val="1"/>
          <c:tx>
            <c:strRef>
              <c:f>Sheet2!$C$2:$C$3</c:f>
              <c:strCache>
                <c:ptCount val="1"/>
                <c:pt idx="0">
                  <c:v>Income</c:v>
                </c:pt>
              </c:strCache>
            </c:strRef>
          </c:tx>
          <c:spPr>
            <a:gradFill flip="none" rotWithShape="1">
              <a:gsLst>
                <a:gs pos="0">
                  <a:schemeClr val="accent1">
                    <a:lumMod val="50000"/>
                  </a:schemeClr>
                </a:gs>
                <a:gs pos="0">
                  <a:schemeClr val="accent1">
                    <a:lumMod val="45000"/>
                    <a:lumOff val="55000"/>
                  </a:schemeClr>
                </a:gs>
                <a:gs pos="0">
                  <a:srgbClr val="123452"/>
                </a:gs>
                <a:gs pos="99000">
                  <a:schemeClr val="tx2">
                    <a:lumMod val="25000"/>
                    <a:lumOff val="75000"/>
                  </a:schemeClr>
                </a:gs>
              </a:gsLst>
              <a:lin ang="5400000" scaled="1"/>
              <a:tileRect/>
            </a:gradFill>
            <a:ln w="9525">
              <a:solidFill>
                <a:schemeClr val="tx1"/>
              </a:solidFill>
            </a:ln>
            <a:effectLst>
              <a:outerShdw blurRad="50800" dist="38100" dir="5400000" algn="t" rotWithShape="0">
                <a:prstClr val="black">
                  <a:alpha val="40000"/>
                </a:prstClr>
              </a:outerShdw>
            </a:effectLst>
          </c:spPr>
          <c:invertIfNegative val="0"/>
          <c:dPt>
            <c:idx val="0"/>
            <c:invertIfNegative val="0"/>
            <c:bubble3D val="0"/>
            <c:spPr>
              <a:gradFill flip="none" rotWithShape="1">
                <a:gsLst>
                  <a:gs pos="0">
                    <a:schemeClr val="accent1">
                      <a:lumMod val="50000"/>
                    </a:schemeClr>
                  </a:gs>
                  <a:gs pos="0">
                    <a:schemeClr val="accent1">
                      <a:lumMod val="45000"/>
                      <a:lumOff val="55000"/>
                    </a:schemeClr>
                  </a:gs>
                  <a:gs pos="0">
                    <a:srgbClr val="123452"/>
                  </a:gs>
                  <a:gs pos="99000">
                    <a:schemeClr val="tx2">
                      <a:lumMod val="25000"/>
                      <a:lumOff val="75000"/>
                    </a:schemeClr>
                  </a:gs>
                </a:gsLst>
                <a:lin ang="5400000" scaled="1"/>
                <a:tileRect/>
              </a:gradFill>
              <a:ln w="9525">
                <a:solidFill>
                  <a:schemeClr val="tx1"/>
                </a:solid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5-0F98-4E77-9D6E-3B62A0671C46}"/>
              </c:ext>
            </c:extLst>
          </c:dPt>
          <c:dPt>
            <c:idx val="1"/>
            <c:invertIfNegative val="0"/>
            <c:bubble3D val="0"/>
            <c:spPr>
              <a:gradFill flip="none" rotWithShape="1">
                <a:gsLst>
                  <a:gs pos="0">
                    <a:schemeClr val="accent1">
                      <a:lumMod val="50000"/>
                    </a:schemeClr>
                  </a:gs>
                  <a:gs pos="0">
                    <a:schemeClr val="accent1">
                      <a:lumMod val="45000"/>
                      <a:lumOff val="55000"/>
                    </a:schemeClr>
                  </a:gs>
                  <a:gs pos="0">
                    <a:srgbClr val="123452"/>
                  </a:gs>
                  <a:gs pos="99000">
                    <a:schemeClr val="tx2">
                      <a:lumMod val="25000"/>
                      <a:lumOff val="75000"/>
                    </a:schemeClr>
                  </a:gs>
                </a:gsLst>
                <a:lin ang="5400000" scaled="1"/>
                <a:tileRect/>
              </a:gradFill>
              <a:ln w="9525">
                <a:solidFill>
                  <a:schemeClr val="tx1"/>
                </a:solid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7-0F98-4E77-9D6E-3B62A0671C46}"/>
              </c:ext>
            </c:extLst>
          </c:dPt>
          <c:dLbls>
            <c:dLbl>
              <c:idx val="0"/>
              <c:layout>
                <c:manualLayout>
                  <c:x val="5.9079852327778241E-3"/>
                  <c:y val="-5.287566599399382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F98-4E77-9D6E-3B62A0671C46}"/>
                </c:ext>
              </c:extLst>
            </c:dLbl>
            <c:dLbl>
              <c:idx val="1"/>
              <c:layout>
                <c:manualLayout>
                  <c:x val="-2.048897235610014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F98-4E77-9D6E-3B62A0671C4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Sheet2!$A$4:$A$6</c:f>
              <c:strCache>
                <c:ptCount val="2"/>
                <c:pt idx="0">
                  <c:v>2024</c:v>
                </c:pt>
                <c:pt idx="1">
                  <c:v>2025</c:v>
                </c:pt>
              </c:strCache>
            </c:strRef>
          </c:cat>
          <c:val>
            <c:numRef>
              <c:f>Sheet2!$C$4:$C$6</c:f>
              <c:numCache>
                <c:formatCode>"₹"\ #,##0.00;[Red]"₹"\ #,##0.00</c:formatCode>
                <c:ptCount val="2"/>
                <c:pt idx="0">
                  <c:v>102602.73</c:v>
                </c:pt>
                <c:pt idx="1">
                  <c:v>106131.10999999999</c:v>
                </c:pt>
              </c:numCache>
            </c:numRef>
          </c:val>
          <c:extLst>
            <c:ext xmlns:c16="http://schemas.microsoft.com/office/drawing/2014/chart" uri="{C3380CC4-5D6E-409C-BE32-E72D297353CC}">
              <c16:uniqueId val="{0000000B-B118-47F5-9DF9-C468C88C416D}"/>
            </c:ext>
          </c:extLst>
        </c:ser>
        <c:dLbls>
          <c:dLblPos val="inEnd"/>
          <c:showLegendKey val="0"/>
          <c:showVal val="1"/>
          <c:showCatName val="0"/>
          <c:showSerName val="0"/>
          <c:showPercent val="0"/>
          <c:showBubbleSize val="0"/>
        </c:dLbls>
        <c:gapWidth val="326"/>
        <c:overlap val="-58"/>
        <c:axId val="265251887"/>
        <c:axId val="2123868847"/>
      </c:barChart>
      <c:catAx>
        <c:axId val="265251887"/>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2123868847"/>
        <c:crosses val="autoZero"/>
        <c:auto val="1"/>
        <c:lblAlgn val="ctr"/>
        <c:lblOffset val="100"/>
        <c:noMultiLvlLbl val="0"/>
      </c:catAx>
      <c:valAx>
        <c:axId val="2123868847"/>
        <c:scaling>
          <c:orientation val="minMax"/>
        </c:scaling>
        <c:delete val="0"/>
        <c:axPos val="b"/>
        <c:majorGridlines>
          <c:spPr>
            <a:ln w="9525" cap="flat" cmpd="sng" algn="ctr">
              <a:gradFill>
                <a:gsLst>
                  <a:gs pos="0">
                    <a:schemeClr val="bg1"/>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quot;₹&quot;\ #,##0.00;[Red]&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265251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Finance(AutoRecovered)8788.xlsm]Sheet2!PivotTable2</c:name>
    <c:fmtId val="35"/>
  </c:pivotSource>
  <c:chart>
    <c:autoTitleDeleted val="1"/>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8"/>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7"/>
      </c:pivotFmt>
      <c:pivotFmt>
        <c:idx val="4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6.2556800889369824E-2"/>
          <c:y val="0.17814505842422965"/>
          <c:w val="0.69200444262211924"/>
          <c:h val="0.71559484111395721"/>
        </c:manualLayout>
      </c:layout>
      <c:doughnutChart>
        <c:varyColors val="1"/>
        <c:ser>
          <c:idx val="0"/>
          <c:order val="0"/>
          <c:tx>
            <c:strRef>
              <c:f>Sheet2!$M$2:$M$3</c:f>
              <c:strCache>
                <c:ptCount val="1"/>
                <c:pt idx="0">
                  <c:v>Expense</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AE5-4041-AA6C-120A4BDB5CC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AE5-4041-AA6C-120A4BDB5CC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AE5-4041-AA6C-120A4BDB5CC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AE5-4041-AA6C-120A4BDB5CC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3AE5-4041-AA6C-120A4BDB5CCF}"/>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3AE5-4041-AA6C-120A4BDB5CCF}"/>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3AE5-4041-AA6C-120A4BDB5CCF}"/>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3AE5-4041-AA6C-120A4BDB5CC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Sheet2!$L$4:$L$11</c:f>
              <c:strCache>
                <c:ptCount val="7"/>
                <c:pt idx="0">
                  <c:v>Dining</c:v>
                </c:pt>
                <c:pt idx="1">
                  <c:v>Freelance</c:v>
                </c:pt>
                <c:pt idx="2">
                  <c:v>Groceries</c:v>
                </c:pt>
                <c:pt idx="3">
                  <c:v>Rent</c:v>
                </c:pt>
                <c:pt idx="4">
                  <c:v>Salary</c:v>
                </c:pt>
                <c:pt idx="5">
                  <c:v>Transport</c:v>
                </c:pt>
                <c:pt idx="6">
                  <c:v>Utilities</c:v>
                </c:pt>
              </c:strCache>
            </c:strRef>
          </c:cat>
          <c:val>
            <c:numRef>
              <c:f>Sheet2!$M$4:$M$11</c:f>
              <c:numCache>
                <c:formatCode>"₹"\ #,##0.00;[Red]"₹"\ #,##0.00</c:formatCode>
                <c:ptCount val="7"/>
                <c:pt idx="0">
                  <c:v>13155.970000000003</c:v>
                </c:pt>
                <c:pt idx="2">
                  <c:v>21840.789999999997</c:v>
                </c:pt>
                <c:pt idx="3">
                  <c:v>34880.649999999994</c:v>
                </c:pt>
                <c:pt idx="5">
                  <c:v>7752.1200000000026</c:v>
                </c:pt>
                <c:pt idx="6">
                  <c:v>9617.2499999999982</c:v>
                </c:pt>
              </c:numCache>
            </c:numRef>
          </c:val>
          <c:extLst>
            <c:ext xmlns:c16="http://schemas.microsoft.com/office/drawing/2014/chart" uri="{C3380CC4-5D6E-409C-BE32-E72D297353CC}">
              <c16:uniqueId val="{00000010-3AE5-4041-AA6C-120A4BDB5CCF}"/>
            </c:ext>
          </c:extLst>
        </c:ser>
        <c:ser>
          <c:idx val="1"/>
          <c:order val="1"/>
          <c:tx>
            <c:strRef>
              <c:f>Sheet2!$N$2:$N$3</c:f>
              <c:strCache>
                <c:ptCount val="1"/>
                <c:pt idx="0">
                  <c:v>Income</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BEC1-4E97-A7D2-7E419DA7B02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BEC1-4E97-A7D2-7E419DA7B02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BEC1-4E97-A7D2-7E419DA7B02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BEC1-4E97-A7D2-7E419DA7B02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BEC1-4E97-A7D2-7E419DA7B029}"/>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BEC1-4E97-A7D2-7E419DA7B029}"/>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BEC1-4E97-A7D2-7E419DA7B02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Sheet2!$L$4:$L$11</c:f>
              <c:strCache>
                <c:ptCount val="7"/>
                <c:pt idx="0">
                  <c:v>Dining</c:v>
                </c:pt>
                <c:pt idx="1">
                  <c:v>Freelance</c:v>
                </c:pt>
                <c:pt idx="2">
                  <c:v>Groceries</c:v>
                </c:pt>
                <c:pt idx="3">
                  <c:v>Rent</c:v>
                </c:pt>
                <c:pt idx="4">
                  <c:v>Salary</c:v>
                </c:pt>
                <c:pt idx="5">
                  <c:v>Transport</c:v>
                </c:pt>
                <c:pt idx="6">
                  <c:v>Utilities</c:v>
                </c:pt>
              </c:strCache>
            </c:strRef>
          </c:cat>
          <c:val>
            <c:numRef>
              <c:f>Sheet2!$N$4:$N$11</c:f>
              <c:numCache>
                <c:formatCode>"₹"\ #,##0.00;[Red]"₹"\ #,##0.00</c:formatCode>
                <c:ptCount val="7"/>
                <c:pt idx="1">
                  <c:v>35682.039999999986</c:v>
                </c:pt>
                <c:pt idx="4">
                  <c:v>173051.8</c:v>
                </c:pt>
              </c:numCache>
            </c:numRef>
          </c:val>
          <c:extLst>
            <c:ext xmlns:c16="http://schemas.microsoft.com/office/drawing/2014/chart" uri="{C3380CC4-5D6E-409C-BE32-E72D297353CC}">
              <c16:uniqueId val="{00000021-5BA0-48EF-B5A3-805A26F610C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9519742235864677"/>
          <c:y val="0.24980685576569719"/>
          <c:w val="0.14497729258512373"/>
          <c:h val="0.635698667751449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Finance(AutoRecovered)8788.xlsm]Sheet2!PivotTable4</c:name>
    <c:fmtId val="13"/>
  </c:pivotSource>
  <c:chart>
    <c:title>
      <c:tx>
        <c:rich>
          <a:bodyPr rot="0" spcFirstLastPara="1" vertOverflow="ellipsis" vert="horz" wrap="square" anchor="ctr" anchorCtr="1"/>
          <a:lstStyle/>
          <a:p>
            <a:pPr>
              <a:defRPr sz="1200" b="1" i="0" u="none" strike="noStrike" kern="1200" cap="all" spc="50" baseline="0">
                <a:solidFill>
                  <a:schemeClr val="tx1">
                    <a:lumMod val="65000"/>
                    <a:lumOff val="35000"/>
                  </a:schemeClr>
                </a:solidFill>
                <a:latin typeface="+mn-lt"/>
                <a:ea typeface="+mn-ea"/>
                <a:cs typeface="+mn-cs"/>
              </a:defRPr>
            </a:pPr>
            <a:r>
              <a:rPr lang="en-US" sz="1200">
                <a:solidFill>
                  <a:schemeClr val="tx1"/>
                </a:solidFill>
                <a:latin typeface="Arial Black" panose="020B0A04020102020204" pitchFamily="34" charset="0"/>
              </a:rPr>
              <a:t>Expense By Payment Method</a:t>
            </a:r>
          </a:p>
        </c:rich>
      </c:tx>
      <c:layout>
        <c:manualLayout>
          <c:xMode val="edge"/>
          <c:yMode val="edge"/>
          <c:x val="0.18892000944788973"/>
          <c:y val="2.3624491582614409E-2"/>
        </c:manualLayout>
      </c:layout>
      <c:overlay val="0"/>
      <c:spPr>
        <a:noFill/>
        <a:ln>
          <a:noFill/>
        </a:ln>
        <a:effectLst/>
      </c:spPr>
      <c:txPr>
        <a:bodyPr rot="0" spcFirstLastPara="1" vertOverflow="ellipsis" vert="horz" wrap="square" anchor="ctr" anchorCtr="1"/>
        <a:lstStyle/>
        <a:p>
          <a:pPr>
            <a:defRPr sz="12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tx2">
                  <a:lumMod val="90000"/>
                  <a:lumOff val="10000"/>
                </a:schemeClr>
              </a:gs>
              <a:gs pos="0">
                <a:schemeClr val="accent1">
                  <a:lumMod val="45000"/>
                  <a:lumOff val="55000"/>
                </a:schemeClr>
              </a:gs>
              <a:gs pos="0">
                <a:schemeClr val="accent1">
                  <a:lumMod val="50000"/>
                </a:schemeClr>
              </a:gs>
              <a:gs pos="99000">
                <a:schemeClr val="tx2">
                  <a:lumMod val="50000"/>
                  <a:lumOff val="5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Sheet2!$B$44</c:f>
              <c:strCache>
                <c:ptCount val="1"/>
                <c:pt idx="0">
                  <c:v>Total</c:v>
                </c:pt>
              </c:strCache>
            </c:strRef>
          </c:tx>
          <c:spPr>
            <a:gradFill flip="none" rotWithShape="1">
              <a:gsLst>
                <a:gs pos="0">
                  <a:schemeClr val="tx2">
                    <a:lumMod val="90000"/>
                    <a:lumOff val="10000"/>
                  </a:schemeClr>
                </a:gs>
                <a:gs pos="0">
                  <a:schemeClr val="accent1">
                    <a:lumMod val="45000"/>
                    <a:lumOff val="55000"/>
                  </a:schemeClr>
                </a:gs>
                <a:gs pos="0">
                  <a:schemeClr val="accent1">
                    <a:lumMod val="50000"/>
                  </a:schemeClr>
                </a:gs>
                <a:gs pos="99000">
                  <a:schemeClr val="tx2">
                    <a:lumMod val="50000"/>
                    <a:lumOff val="5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Sheet2!$A$45:$A$52</c:f>
              <c:strCache>
                <c:ptCount val="7"/>
                <c:pt idx="0">
                  <c:v>Auto-Pay</c:v>
                </c:pt>
                <c:pt idx="1">
                  <c:v>Cash</c:v>
                </c:pt>
                <c:pt idx="2">
                  <c:v>Check</c:v>
                </c:pt>
                <c:pt idx="3">
                  <c:v>Credit</c:v>
                </c:pt>
                <c:pt idx="4">
                  <c:v>Debit</c:v>
                </c:pt>
                <c:pt idx="5">
                  <c:v>Direct Deposit</c:v>
                </c:pt>
                <c:pt idx="6">
                  <c:v>Transfer</c:v>
                </c:pt>
              </c:strCache>
            </c:strRef>
          </c:cat>
          <c:val>
            <c:numRef>
              <c:f>Sheet2!$B$45:$B$52</c:f>
              <c:numCache>
                <c:formatCode>"₹"\ #,##0.00;[Red]"₹"\ #,##0.00</c:formatCode>
                <c:ptCount val="7"/>
                <c:pt idx="0">
                  <c:v>44497.9</c:v>
                </c:pt>
                <c:pt idx="1">
                  <c:v>6758.9599999999982</c:v>
                </c:pt>
                <c:pt idx="2">
                  <c:v>15755.62</c:v>
                </c:pt>
                <c:pt idx="3">
                  <c:v>21896.699999999997</c:v>
                </c:pt>
                <c:pt idx="4">
                  <c:v>19826.739999999998</c:v>
                </c:pt>
                <c:pt idx="5">
                  <c:v>173051.8</c:v>
                </c:pt>
                <c:pt idx="6">
                  <c:v>19926.419999999998</c:v>
                </c:pt>
              </c:numCache>
            </c:numRef>
          </c:val>
          <c:extLst>
            <c:ext xmlns:c16="http://schemas.microsoft.com/office/drawing/2014/chart" uri="{C3380CC4-5D6E-409C-BE32-E72D297353CC}">
              <c16:uniqueId val="{00000000-FFEC-4860-9FD6-A116494CFD85}"/>
            </c:ext>
          </c:extLst>
        </c:ser>
        <c:dLbls>
          <c:dLblPos val="outEnd"/>
          <c:showLegendKey val="0"/>
          <c:showVal val="1"/>
          <c:showCatName val="0"/>
          <c:showSerName val="0"/>
          <c:showPercent val="0"/>
          <c:showBubbleSize val="0"/>
        </c:dLbls>
        <c:gapWidth val="355"/>
        <c:overlap val="-70"/>
        <c:axId val="794304560"/>
        <c:axId val="810635376"/>
      </c:barChart>
      <c:catAx>
        <c:axId val="79430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810635376"/>
        <c:crosses val="autoZero"/>
        <c:auto val="1"/>
        <c:lblAlgn val="ctr"/>
        <c:lblOffset val="100"/>
        <c:noMultiLvlLbl val="0"/>
      </c:catAx>
      <c:valAx>
        <c:axId val="810635376"/>
        <c:scaling>
          <c:orientation val="minMax"/>
        </c:scaling>
        <c:delete val="0"/>
        <c:axPos val="l"/>
        <c:numFmt formatCode="&quot;₹&quot;\ #,##0.00;[Red]&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04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Finance(AutoRecovered)8788.xlsm]Sheet2!PivotTable3</c:name>
    <c:fmtId val="32"/>
  </c:pivotSource>
  <c:chart>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b="1">
                <a:solidFill>
                  <a:schemeClr val="tx1"/>
                </a:solidFill>
                <a:latin typeface="Arial Black" panose="020B0A04020102020204" pitchFamily="34" charset="0"/>
              </a:rPr>
              <a:t>INCOME</a:t>
            </a:r>
            <a:r>
              <a:rPr lang="en-US" sz="1400" b="1" baseline="0">
                <a:solidFill>
                  <a:schemeClr val="tx1"/>
                </a:solidFill>
                <a:latin typeface="Arial Black" panose="020B0A04020102020204" pitchFamily="34" charset="0"/>
              </a:rPr>
              <a:t> BY SOURCE</a:t>
            </a:r>
            <a:endParaRPr lang="en-US" sz="1400" b="1">
              <a:solidFill>
                <a:schemeClr val="tx1"/>
              </a:solidFill>
              <a:latin typeface="Arial Black" panose="020B0A04020102020204" pitchFamily="34" charset="0"/>
            </a:endParaRPr>
          </a:p>
        </c:rich>
      </c:tx>
      <c:layout>
        <c:manualLayout>
          <c:xMode val="edge"/>
          <c:yMode val="edge"/>
          <c:x val="0.28239948181526198"/>
          <c:y val="3.0601582600525177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3">
                  <a:lumMod val="50000"/>
                </a:schemeClr>
              </a:gs>
              <a:gs pos="0">
                <a:schemeClr val="accent1">
                  <a:lumMod val="45000"/>
                  <a:lumOff val="55000"/>
                </a:schemeClr>
              </a:gs>
              <a:gs pos="0">
                <a:schemeClr val="accent4">
                  <a:lumMod val="50000"/>
                </a:schemeClr>
              </a:gs>
              <a:gs pos="99000">
                <a:schemeClr val="tx2">
                  <a:lumMod val="10000"/>
                  <a:lumOff val="90000"/>
                </a:schemeClr>
              </a:gs>
            </a:gsLst>
            <a:lin ang="54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Sheet2!$C$29</c:f>
              <c:strCache>
                <c:ptCount val="1"/>
                <c:pt idx="0">
                  <c:v>Total</c:v>
                </c:pt>
              </c:strCache>
            </c:strRef>
          </c:tx>
          <c:spPr>
            <a:gradFill rotWithShape="1">
              <a:gsLst>
                <a:gs pos="0">
                  <a:schemeClr val="accent3">
                    <a:lumMod val="50000"/>
                  </a:schemeClr>
                </a:gs>
                <a:gs pos="0">
                  <a:schemeClr val="accent1">
                    <a:lumMod val="45000"/>
                    <a:lumOff val="55000"/>
                  </a:schemeClr>
                </a:gs>
                <a:gs pos="0">
                  <a:schemeClr val="accent4">
                    <a:lumMod val="50000"/>
                  </a:schemeClr>
                </a:gs>
                <a:gs pos="99000">
                  <a:schemeClr val="tx2">
                    <a:lumMod val="10000"/>
                    <a:lumOff val="90000"/>
                  </a:schemeClr>
                </a:gs>
              </a:gsLst>
              <a:lin ang="5400000" scaled="1"/>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Sheet2!$B$30:$B$32</c:f>
              <c:strCache>
                <c:ptCount val="2"/>
                <c:pt idx="0">
                  <c:v>Freelance</c:v>
                </c:pt>
                <c:pt idx="1">
                  <c:v>Salary</c:v>
                </c:pt>
              </c:strCache>
            </c:strRef>
          </c:cat>
          <c:val>
            <c:numRef>
              <c:f>Sheet2!$C$30:$C$32</c:f>
              <c:numCache>
                <c:formatCode>"₹"\ #,##0.00;[Red]"₹"\ #,##0.00</c:formatCode>
                <c:ptCount val="2"/>
                <c:pt idx="0">
                  <c:v>35682.039999999994</c:v>
                </c:pt>
                <c:pt idx="1">
                  <c:v>173051.79999999996</c:v>
                </c:pt>
              </c:numCache>
            </c:numRef>
          </c:val>
          <c:extLst>
            <c:ext xmlns:c16="http://schemas.microsoft.com/office/drawing/2014/chart" uri="{C3380CC4-5D6E-409C-BE32-E72D297353CC}">
              <c16:uniqueId val="{00000000-6526-4372-BE3E-83D6DDF760E8}"/>
            </c:ext>
          </c:extLst>
        </c:ser>
        <c:dLbls>
          <c:dLblPos val="inEnd"/>
          <c:showLegendKey val="0"/>
          <c:showVal val="1"/>
          <c:showCatName val="0"/>
          <c:showSerName val="0"/>
          <c:showPercent val="0"/>
          <c:showBubbleSize val="0"/>
        </c:dLbls>
        <c:gapWidth val="100"/>
        <c:overlap val="-24"/>
        <c:axId val="790949856"/>
        <c:axId val="810671376"/>
      </c:barChart>
      <c:catAx>
        <c:axId val="79094985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810671376"/>
        <c:crosses val="autoZero"/>
        <c:auto val="1"/>
        <c:lblAlgn val="ctr"/>
        <c:lblOffset val="100"/>
        <c:noMultiLvlLbl val="0"/>
      </c:catAx>
      <c:valAx>
        <c:axId val="810671376"/>
        <c:scaling>
          <c:orientation val="minMax"/>
        </c:scaling>
        <c:delete val="0"/>
        <c:axPos val="l"/>
        <c:majorGridlines>
          <c:spPr>
            <a:ln w="9525" cap="flat" cmpd="sng" algn="ctr">
              <a:solidFill>
                <a:schemeClr val="bg1"/>
              </a:solidFill>
              <a:round/>
            </a:ln>
            <a:effectLst/>
          </c:spPr>
        </c:majorGridlines>
        <c:numFmt formatCode="&quot;₹&quot;\ #,##0.00;[Red]&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9498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Finance(AutoRecovered)8788.xlsm]Sheet2!PivotTable5</c:name>
    <c:fmtId val="13"/>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200" b="1">
                <a:solidFill>
                  <a:schemeClr val="tx1"/>
                </a:solidFill>
                <a:latin typeface="Arial Black" panose="020B0A04020102020204" pitchFamily="34" charset="0"/>
              </a:rPr>
              <a:t>TOP 10 EXPENSE MERCHANTS</a:t>
            </a:r>
          </a:p>
        </c:rich>
      </c:tx>
      <c:layout>
        <c:manualLayout>
          <c:xMode val="edge"/>
          <c:yMode val="edge"/>
          <c:x val="0.31314387288134982"/>
          <c:y val="3.33432124133934E-2"/>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lumMod val="50000"/>
                </a:schemeClr>
              </a:gs>
              <a:gs pos="0">
                <a:schemeClr val="accent1">
                  <a:lumMod val="45000"/>
                  <a:lumOff val="55000"/>
                </a:schemeClr>
              </a:gs>
              <a:gs pos="0">
                <a:schemeClr val="tx2">
                  <a:lumMod val="90000"/>
                  <a:lumOff val="10000"/>
                </a:schemeClr>
              </a:gs>
              <a:gs pos="99000">
                <a:schemeClr val="tx2">
                  <a:lumMod val="50000"/>
                  <a:lumOff val="5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Sheet2!$B$64</c:f>
              <c:strCache>
                <c:ptCount val="1"/>
                <c:pt idx="0">
                  <c:v>Total</c:v>
                </c:pt>
              </c:strCache>
            </c:strRef>
          </c:tx>
          <c:spPr>
            <a:gradFill>
              <a:gsLst>
                <a:gs pos="0">
                  <a:schemeClr val="accent1">
                    <a:lumMod val="50000"/>
                  </a:schemeClr>
                </a:gs>
                <a:gs pos="0">
                  <a:schemeClr val="accent1">
                    <a:lumMod val="45000"/>
                    <a:lumOff val="55000"/>
                  </a:schemeClr>
                </a:gs>
                <a:gs pos="0">
                  <a:schemeClr val="tx2">
                    <a:lumMod val="90000"/>
                    <a:lumOff val="10000"/>
                  </a:schemeClr>
                </a:gs>
                <a:gs pos="99000">
                  <a:schemeClr val="tx2">
                    <a:lumMod val="50000"/>
                    <a:lumOff val="5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Sheet2!$A$65:$A$75</c:f>
              <c:strCache>
                <c:ptCount val="10"/>
                <c:pt idx="0">
                  <c:v>Upwork Transfer</c:v>
                </c:pt>
                <c:pt idx="1">
                  <c:v>Property Management LLC</c:v>
                </c:pt>
                <c:pt idx="2">
                  <c:v>Landlord Payment</c:v>
                </c:pt>
                <c:pt idx="3">
                  <c:v>Fiverr Earnings</c:v>
                </c:pt>
                <c:pt idx="4">
                  <c:v>Employer Direct Deposit</c:v>
                </c:pt>
                <c:pt idx="5">
                  <c:v>Consulting Fee</c:v>
                </c:pt>
                <c:pt idx="6">
                  <c:v>Company Payroll</c:v>
                </c:pt>
                <c:pt idx="7">
                  <c:v>Client Payment</c:v>
                </c:pt>
                <c:pt idx="8">
                  <c:v>Apartment Complex</c:v>
                </c:pt>
                <c:pt idx="9">
                  <c:v>Aldi</c:v>
                </c:pt>
              </c:strCache>
            </c:strRef>
          </c:cat>
          <c:val>
            <c:numRef>
              <c:f>Sheet2!$B$65:$B$75</c:f>
              <c:numCache>
                <c:formatCode>"₹"\ #,##0.00;[Red]"₹"\ #,##0.00</c:formatCode>
                <c:ptCount val="10"/>
                <c:pt idx="0">
                  <c:v>10037.620000000001</c:v>
                </c:pt>
                <c:pt idx="1">
                  <c:v>6001.41</c:v>
                </c:pt>
                <c:pt idx="2">
                  <c:v>12390.999999999998</c:v>
                </c:pt>
                <c:pt idx="3">
                  <c:v>10813.83</c:v>
                </c:pt>
                <c:pt idx="4">
                  <c:v>83903.01</c:v>
                </c:pt>
                <c:pt idx="5">
                  <c:v>8763.57</c:v>
                </c:pt>
                <c:pt idx="6">
                  <c:v>89148.79</c:v>
                </c:pt>
                <c:pt idx="7">
                  <c:v>6067.0199999999995</c:v>
                </c:pt>
                <c:pt idx="8">
                  <c:v>16488.239999999998</c:v>
                </c:pt>
                <c:pt idx="9">
                  <c:v>3597.420000000001</c:v>
                </c:pt>
              </c:numCache>
            </c:numRef>
          </c:val>
          <c:extLst>
            <c:ext xmlns:c16="http://schemas.microsoft.com/office/drawing/2014/chart" uri="{C3380CC4-5D6E-409C-BE32-E72D297353CC}">
              <c16:uniqueId val="{00000003-4D02-4F0D-8C54-762960DDCCAE}"/>
            </c:ext>
          </c:extLst>
        </c:ser>
        <c:dLbls>
          <c:dLblPos val="outEnd"/>
          <c:showLegendKey val="0"/>
          <c:showVal val="1"/>
          <c:showCatName val="0"/>
          <c:showSerName val="0"/>
          <c:showPercent val="0"/>
          <c:showBubbleSize val="0"/>
        </c:dLbls>
        <c:gapWidth val="219"/>
        <c:axId val="930922416"/>
        <c:axId val="810658416"/>
      </c:barChart>
      <c:catAx>
        <c:axId val="93092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810658416"/>
        <c:crosses val="autoZero"/>
        <c:auto val="1"/>
        <c:lblAlgn val="ctr"/>
        <c:lblOffset val="100"/>
        <c:noMultiLvlLbl val="0"/>
      </c:catAx>
      <c:valAx>
        <c:axId val="810658416"/>
        <c:scaling>
          <c:orientation val="minMax"/>
        </c:scaling>
        <c:delete val="0"/>
        <c:axPos val="l"/>
        <c:majorGridlines>
          <c:spPr>
            <a:ln w="9525" cap="flat" cmpd="sng" algn="ctr">
              <a:gradFill>
                <a:gsLst>
                  <a:gs pos="0">
                    <a:schemeClr val="bg1"/>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quot;₹&quot;\ #,##0.00;[Red]&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922416"/>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Personal Finance(AutoRecovered)8788.xlsm]Sheet2!PivotTable6</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6072309934099599E-2"/>
          <c:y val="0.15750863506985571"/>
          <c:w val="0.69202590233603278"/>
          <c:h val="0.83420143676857295"/>
        </c:manualLayout>
      </c:layout>
      <c:pie3DChart>
        <c:varyColors val="1"/>
        <c:ser>
          <c:idx val="0"/>
          <c:order val="0"/>
          <c:tx>
            <c:strRef>
              <c:f>Sheet2!$D$111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1-22DA-447C-97E1-C569AA90D8C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3-22DA-447C-97E1-C569AA90D8C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22DA-447C-97E1-C569AA90D8C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1"/>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Sheet2!$C$112:$C$115</c:f>
              <c:strCache>
                <c:ptCount val="3"/>
                <c:pt idx="0">
                  <c:v>Checking</c:v>
                </c:pt>
                <c:pt idx="1">
                  <c:v>Credit Card</c:v>
                </c:pt>
                <c:pt idx="2">
                  <c:v>Savings</c:v>
                </c:pt>
              </c:strCache>
            </c:strRef>
          </c:cat>
          <c:val>
            <c:numRef>
              <c:f>Sheet2!$D$112:$D$115</c:f>
              <c:numCache>
                <c:formatCode>"₹"\ #,##0.00;[Red]"₹"\ #,##0.00</c:formatCode>
                <c:ptCount val="3"/>
                <c:pt idx="0">
                  <c:v>257842.1099999999</c:v>
                </c:pt>
                <c:pt idx="1">
                  <c:v>26563.389999999992</c:v>
                </c:pt>
                <c:pt idx="2">
                  <c:v>17308.64</c:v>
                </c:pt>
              </c:numCache>
            </c:numRef>
          </c:val>
          <c:extLst>
            <c:ext xmlns:c16="http://schemas.microsoft.com/office/drawing/2014/chart" uri="{C3380CC4-5D6E-409C-BE32-E72D297353CC}">
              <c16:uniqueId val="{00000006-22DA-447C-97E1-C569AA90D8C8}"/>
            </c:ext>
          </c:extLst>
        </c:ser>
        <c:dLbls>
          <c:dLblPos val="outEnd"/>
          <c:showLegendKey val="0"/>
          <c:showVal val="0"/>
          <c:showCatName val="1"/>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9.xml"/><Relationship Id="rId7" Type="http://schemas.openxmlformats.org/officeDocument/2006/relationships/image" Target="../media/image1.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1132399</xdr:colOff>
      <xdr:row>7</xdr:row>
      <xdr:rowOff>165652</xdr:rowOff>
    </xdr:from>
    <xdr:to>
      <xdr:col>8</xdr:col>
      <xdr:colOff>107674</xdr:colOff>
      <xdr:row>20</xdr:row>
      <xdr:rowOff>173933</xdr:rowOff>
    </xdr:to>
    <xdr:graphicFrame macro="">
      <xdr:nvGraphicFramePr>
        <xdr:cNvPr id="2" name="Chart 1">
          <a:extLst>
            <a:ext uri="{FF2B5EF4-FFF2-40B4-BE49-F238E27FC236}">
              <a16:creationId xmlns:a16="http://schemas.microsoft.com/office/drawing/2014/main" id="{F9451505-7FE1-2459-4914-379BB9E27D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389281</xdr:colOff>
      <xdr:row>16</xdr:row>
      <xdr:rowOff>44726</xdr:rowOff>
    </xdr:from>
    <xdr:to>
      <xdr:col>13</xdr:col>
      <xdr:colOff>861390</xdr:colOff>
      <xdr:row>29</xdr:row>
      <xdr:rowOff>66261</xdr:rowOff>
    </xdr:to>
    <xdr:graphicFrame macro="">
      <xdr:nvGraphicFramePr>
        <xdr:cNvPr id="3" name="Chart 2">
          <a:extLst>
            <a:ext uri="{FF2B5EF4-FFF2-40B4-BE49-F238E27FC236}">
              <a16:creationId xmlns:a16="http://schemas.microsoft.com/office/drawing/2014/main" id="{67220A11-BA80-92D1-10BC-D8B6E608F3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190500</xdr:colOff>
      <xdr:row>25</xdr:row>
      <xdr:rowOff>152400</xdr:rowOff>
    </xdr:from>
    <xdr:to>
      <xdr:col>8</xdr:col>
      <xdr:colOff>530088</xdr:colOff>
      <xdr:row>40</xdr:row>
      <xdr:rowOff>162339</xdr:rowOff>
    </xdr:to>
    <xdr:graphicFrame macro="">
      <xdr:nvGraphicFramePr>
        <xdr:cNvPr id="4" name="Chart 3">
          <a:extLst>
            <a:ext uri="{FF2B5EF4-FFF2-40B4-BE49-F238E27FC236}">
              <a16:creationId xmlns:a16="http://schemas.microsoft.com/office/drawing/2014/main" id="{6637B45D-60FB-10BA-0A19-DB76AF6501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248479</xdr:colOff>
      <xdr:row>44</xdr:row>
      <xdr:rowOff>53009</xdr:rowOff>
    </xdr:from>
    <xdr:to>
      <xdr:col>11</xdr:col>
      <xdr:colOff>886239</xdr:colOff>
      <xdr:row>59</xdr:row>
      <xdr:rowOff>62948</xdr:rowOff>
    </xdr:to>
    <xdr:graphicFrame macro="">
      <xdr:nvGraphicFramePr>
        <xdr:cNvPr id="5" name="Chart 4">
          <a:extLst>
            <a:ext uri="{FF2B5EF4-FFF2-40B4-BE49-F238E27FC236}">
              <a16:creationId xmlns:a16="http://schemas.microsoft.com/office/drawing/2014/main" id="{26A0048B-89EF-B0D4-B772-001E916A6F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74544</xdr:colOff>
      <xdr:row>62</xdr:row>
      <xdr:rowOff>140805</xdr:rowOff>
    </xdr:from>
    <xdr:to>
      <xdr:col>11</xdr:col>
      <xdr:colOff>828261</xdr:colOff>
      <xdr:row>79</xdr:row>
      <xdr:rowOff>54664</xdr:rowOff>
    </xdr:to>
    <xdr:graphicFrame macro="">
      <xdr:nvGraphicFramePr>
        <xdr:cNvPr id="6" name="Chart 5">
          <a:extLst>
            <a:ext uri="{FF2B5EF4-FFF2-40B4-BE49-F238E27FC236}">
              <a16:creationId xmlns:a16="http://schemas.microsoft.com/office/drawing/2014/main" id="{56232094-B09D-7B6B-2C96-D05E749937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496957</xdr:colOff>
      <xdr:row>110</xdr:row>
      <xdr:rowOff>16564</xdr:rowOff>
    </xdr:from>
    <xdr:to>
      <xdr:col>9</xdr:col>
      <xdr:colOff>563218</xdr:colOff>
      <xdr:row>123</xdr:row>
      <xdr:rowOff>4969</xdr:rowOff>
    </xdr:to>
    <xdr:graphicFrame macro="">
      <xdr:nvGraphicFramePr>
        <xdr:cNvPr id="7" name="Chart 6">
          <a:extLst>
            <a:ext uri="{FF2B5EF4-FFF2-40B4-BE49-F238E27FC236}">
              <a16:creationId xmlns:a16="http://schemas.microsoft.com/office/drawing/2014/main" id="{8DCED2DF-AECD-9014-2D09-0D470B1E6D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103366</xdr:colOff>
      <xdr:row>130</xdr:row>
      <xdr:rowOff>42407</xdr:rowOff>
    </xdr:from>
    <xdr:to>
      <xdr:col>6</xdr:col>
      <xdr:colOff>101709</xdr:colOff>
      <xdr:row>137</xdr:row>
      <xdr:rowOff>8282</xdr:rowOff>
    </xdr:to>
    <mc:AlternateContent xmlns:mc="http://schemas.openxmlformats.org/markup-compatibility/2006" xmlns:a14="http://schemas.microsoft.com/office/drawing/2010/main">
      <mc:Choice Requires="a14">
        <xdr:graphicFrame macro="">
          <xdr:nvGraphicFramePr>
            <xdr:cNvPr id="8" name="Account">
              <a:extLst>
                <a:ext uri="{FF2B5EF4-FFF2-40B4-BE49-F238E27FC236}">
                  <a16:creationId xmlns:a16="http://schemas.microsoft.com/office/drawing/2014/main" id="{2E27A9A6-BD28-5E9A-19A2-B4C40BC3CE62}"/>
                </a:ext>
              </a:extLst>
            </xdr:cNvPr>
            <xdr:cNvGraphicFramePr/>
          </xdr:nvGraphicFramePr>
          <xdr:xfrm>
            <a:off x="0" y="0"/>
            <a:ext cx="0" cy="0"/>
          </xdr:xfrm>
          <a:graphic>
            <a:graphicData uri="http://schemas.microsoft.com/office/drawing/2010/slicer">
              <sle:slicer xmlns:sle="http://schemas.microsoft.com/office/drawing/2010/slicer" name="Account"/>
            </a:graphicData>
          </a:graphic>
        </xdr:graphicFrame>
      </mc:Choice>
      <mc:Fallback xmlns="">
        <xdr:sp macro="" textlink="">
          <xdr:nvSpPr>
            <xdr:cNvPr id="0" name=""/>
            <xdr:cNvSpPr>
              <a:spLocks noTextEdit="1"/>
            </xdr:cNvSpPr>
          </xdr:nvSpPr>
          <xdr:spPr>
            <a:xfrm>
              <a:off x="4493149" y="23730668"/>
              <a:ext cx="1828800" cy="12413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393258</xdr:colOff>
      <xdr:row>126</xdr:row>
      <xdr:rowOff>2983</xdr:rowOff>
    </xdr:from>
    <xdr:to>
      <xdr:col>12</xdr:col>
      <xdr:colOff>648362</xdr:colOff>
      <xdr:row>131</xdr:row>
      <xdr:rowOff>66261</xdr:rowOff>
    </xdr:to>
    <mc:AlternateContent xmlns:mc="http://schemas.openxmlformats.org/markup-compatibility/2006" xmlns:a14="http://schemas.microsoft.com/office/drawing/2010/main">
      <mc:Choice Requires="a14">
        <xdr:graphicFrame macro="">
          <xdr:nvGraphicFramePr>
            <xdr:cNvPr id="9" name="Type">
              <a:extLst>
                <a:ext uri="{FF2B5EF4-FFF2-40B4-BE49-F238E27FC236}">
                  <a16:creationId xmlns:a16="http://schemas.microsoft.com/office/drawing/2014/main" id="{0179804E-040B-FF65-41E4-CAB19A22988C}"/>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8460519" y="22962374"/>
              <a:ext cx="1828800" cy="1082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66725</xdr:colOff>
      <xdr:row>2</xdr:row>
      <xdr:rowOff>23889</xdr:rowOff>
    </xdr:from>
    <xdr:to>
      <xdr:col>27</xdr:col>
      <xdr:colOff>53661</xdr:colOff>
      <xdr:row>62</xdr:row>
      <xdr:rowOff>33131</xdr:rowOff>
    </xdr:to>
    <xdr:sp macro="" textlink="">
      <xdr:nvSpPr>
        <xdr:cNvPr id="2" name="Rectangle 1">
          <a:extLst>
            <a:ext uri="{FF2B5EF4-FFF2-40B4-BE49-F238E27FC236}">
              <a16:creationId xmlns:a16="http://schemas.microsoft.com/office/drawing/2014/main" id="{07BC5103-A867-CADC-E633-35EC0C74D95B}"/>
            </a:ext>
          </a:extLst>
        </xdr:cNvPr>
        <xdr:cNvSpPr/>
      </xdr:nvSpPr>
      <xdr:spPr>
        <a:xfrm>
          <a:off x="3131290" y="388324"/>
          <a:ext cx="13471023" cy="10942285"/>
        </a:xfrm>
        <a:prstGeom prst="rect">
          <a:avLst/>
        </a:prstGeom>
        <a:solidFill>
          <a:schemeClr val="bg1">
            <a:lumMod val="85000"/>
            <a:alpha val="60000"/>
          </a:schemeClr>
        </a:solidFill>
        <a:ln w="9525">
          <a:solidFill>
            <a:schemeClr val="tx2">
              <a:lumMod val="90000"/>
              <a:lumOff val="10000"/>
            </a:schemeClr>
          </a:solidFill>
        </a:ln>
        <a:effectLst>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185351</xdr:colOff>
      <xdr:row>2</xdr:row>
      <xdr:rowOff>10298</xdr:rowOff>
    </xdr:from>
    <xdr:to>
      <xdr:col>27</xdr:col>
      <xdr:colOff>0</xdr:colOff>
      <xdr:row>6</xdr:row>
      <xdr:rowOff>72083</xdr:rowOff>
    </xdr:to>
    <xdr:sp macro="" textlink="">
      <xdr:nvSpPr>
        <xdr:cNvPr id="3" name="Rectangle 2">
          <a:extLst>
            <a:ext uri="{FF2B5EF4-FFF2-40B4-BE49-F238E27FC236}">
              <a16:creationId xmlns:a16="http://schemas.microsoft.com/office/drawing/2014/main" id="{01BD1F8D-11ED-1D95-F498-6D5FEC803DD6}"/>
            </a:ext>
          </a:extLst>
        </xdr:cNvPr>
        <xdr:cNvSpPr/>
      </xdr:nvSpPr>
      <xdr:spPr>
        <a:xfrm>
          <a:off x="3212474" y="386079"/>
          <a:ext cx="13133992" cy="813346"/>
        </a:xfrm>
        <a:prstGeom prst="rect">
          <a:avLst/>
        </a:prstGeom>
        <a:solidFill>
          <a:srgbClr val="17365D"/>
        </a:solidFill>
        <a:effectLst>
          <a:glow rad="101600">
            <a:schemeClr val="accent2">
              <a:satMod val="175000"/>
              <a:alpha val="40000"/>
            </a:schemeClr>
          </a:glow>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rgbClr val="FFC000"/>
              </a:solidFill>
              <a:latin typeface="Arial Black" panose="020B0A04020102020204" pitchFamily="34" charset="0"/>
            </a:rPr>
            <a:t>PERSONAL FINANCE ANALYTICS DASHBOARD</a:t>
          </a:r>
        </a:p>
        <a:p>
          <a:pPr algn="ctr"/>
          <a:r>
            <a:rPr lang="en-IN" sz="1600" b="0">
              <a:solidFill>
                <a:schemeClr val="bg1"/>
              </a:solidFill>
              <a:latin typeface="Arial Black" panose="020B0A04020102020204" pitchFamily="34" charset="0"/>
            </a:rPr>
            <a:t>Income</a:t>
          </a:r>
          <a:r>
            <a:rPr lang="en-IN" sz="1600" b="0">
              <a:latin typeface="Arial Black" panose="020B0A04020102020204" pitchFamily="34" charset="0"/>
            </a:rPr>
            <a:t> | Expense | Net</a:t>
          </a:r>
          <a:r>
            <a:rPr lang="en-IN" sz="1600" b="0" baseline="0">
              <a:latin typeface="Arial Black" panose="020B0A04020102020204" pitchFamily="34" charset="0"/>
            </a:rPr>
            <a:t> </a:t>
          </a:r>
          <a:r>
            <a:rPr lang="en-IN" sz="1600" b="0">
              <a:latin typeface="Arial Black" panose="020B0A04020102020204" pitchFamily="34" charset="0"/>
            </a:rPr>
            <a:t>Cash</a:t>
          </a:r>
          <a:r>
            <a:rPr lang="en-IN" sz="1600" b="0" baseline="0">
              <a:latin typeface="Arial Black" panose="020B0A04020102020204" pitchFamily="34" charset="0"/>
            </a:rPr>
            <a:t> Flow</a:t>
          </a:r>
          <a:r>
            <a:rPr lang="en-IN" sz="1600" b="0">
              <a:latin typeface="Arial Black" panose="020B0A04020102020204" pitchFamily="34" charset="0"/>
            </a:rPr>
            <a:t>  </a:t>
          </a:r>
        </a:p>
      </xdr:txBody>
    </xdr:sp>
    <xdr:clientData/>
  </xdr:twoCellAnchor>
  <xdr:twoCellAnchor>
    <xdr:from>
      <xdr:col>5</xdr:col>
      <xdr:colOff>139522</xdr:colOff>
      <xdr:row>6</xdr:row>
      <xdr:rowOff>164758</xdr:rowOff>
    </xdr:from>
    <xdr:to>
      <xdr:col>26</xdr:col>
      <xdr:colOff>591206</xdr:colOff>
      <xdr:row>13</xdr:row>
      <xdr:rowOff>96592</xdr:rowOff>
    </xdr:to>
    <xdr:sp macro="" textlink="">
      <xdr:nvSpPr>
        <xdr:cNvPr id="4" name="Rectangle 3">
          <a:extLst>
            <a:ext uri="{FF2B5EF4-FFF2-40B4-BE49-F238E27FC236}">
              <a16:creationId xmlns:a16="http://schemas.microsoft.com/office/drawing/2014/main" id="{20DBAB81-16B4-AA77-423B-C7D11DD30E14}"/>
            </a:ext>
          </a:extLst>
        </xdr:cNvPr>
        <xdr:cNvSpPr/>
      </xdr:nvSpPr>
      <xdr:spPr>
        <a:xfrm>
          <a:off x="3161246" y="1268344"/>
          <a:ext cx="13142926" cy="1219351"/>
        </a:xfrm>
        <a:prstGeom prst="rect">
          <a:avLst/>
        </a:prstGeom>
        <a:solidFill>
          <a:schemeClr val="tx2">
            <a:lumMod val="90000"/>
            <a:lumOff val="10000"/>
          </a:schemeClr>
        </a:solidFill>
        <a:ln>
          <a:noFill/>
        </a:ln>
        <a:effectLst>
          <a:glow rad="101600">
            <a:schemeClr val="accent2">
              <a:satMod val="175000"/>
              <a:alpha val="10000"/>
            </a:schemeClr>
          </a:glow>
          <a:outerShdw blurRad="50800" dist="38100" dir="5400000" sx="101000" sy="101000" algn="t" rotWithShape="0">
            <a:schemeClr val="accent2">
              <a:lumMod val="75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373278</xdr:colOff>
      <xdr:row>7</xdr:row>
      <xdr:rowOff>112456</xdr:rowOff>
    </xdr:from>
    <xdr:to>
      <xdr:col>12</xdr:col>
      <xdr:colOff>445360</xdr:colOff>
      <xdr:row>12</xdr:row>
      <xdr:rowOff>133051</xdr:rowOff>
    </xdr:to>
    <xdr:sp macro="" textlink="">
      <xdr:nvSpPr>
        <xdr:cNvPr id="6" name="Rectangle: Rounded Corners 5">
          <a:extLst>
            <a:ext uri="{FF2B5EF4-FFF2-40B4-BE49-F238E27FC236}">
              <a16:creationId xmlns:a16="http://schemas.microsoft.com/office/drawing/2014/main" id="{5015E2B2-A903-DD64-1C64-0338EF6A5480}"/>
            </a:ext>
          </a:extLst>
        </xdr:cNvPr>
        <xdr:cNvSpPr/>
      </xdr:nvSpPr>
      <xdr:spPr>
        <a:xfrm>
          <a:off x="5231028" y="1362612"/>
          <a:ext cx="2500957" cy="913564"/>
        </a:xfrm>
        <a:prstGeom prst="round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432841</xdr:colOff>
      <xdr:row>7</xdr:row>
      <xdr:rowOff>112457</xdr:rowOff>
    </xdr:from>
    <xdr:to>
      <xdr:col>22</xdr:col>
      <xdr:colOff>504923</xdr:colOff>
      <xdr:row>12</xdr:row>
      <xdr:rowOff>133052</xdr:rowOff>
    </xdr:to>
    <xdr:sp macro="" textlink="">
      <xdr:nvSpPr>
        <xdr:cNvPr id="7" name="Rectangle: Rounded Corners 6">
          <a:extLst>
            <a:ext uri="{FF2B5EF4-FFF2-40B4-BE49-F238E27FC236}">
              <a16:creationId xmlns:a16="http://schemas.microsoft.com/office/drawing/2014/main" id="{B1293077-834E-4F7B-946E-03AD720C6ED9}"/>
            </a:ext>
          </a:extLst>
        </xdr:cNvPr>
        <xdr:cNvSpPr/>
      </xdr:nvSpPr>
      <xdr:spPr>
        <a:xfrm>
          <a:off x="11362779" y="1362613"/>
          <a:ext cx="2500957" cy="913564"/>
        </a:xfrm>
        <a:prstGeom prst="round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450686</xdr:colOff>
      <xdr:row>7</xdr:row>
      <xdr:rowOff>124364</xdr:rowOff>
    </xdr:from>
    <xdr:to>
      <xdr:col>17</xdr:col>
      <xdr:colOff>522767</xdr:colOff>
      <xdr:row>12</xdr:row>
      <xdr:rowOff>144959</xdr:rowOff>
    </xdr:to>
    <xdr:sp macro="" textlink="">
      <xdr:nvSpPr>
        <xdr:cNvPr id="8" name="Rectangle: Rounded Corners 7">
          <a:extLst>
            <a:ext uri="{FF2B5EF4-FFF2-40B4-BE49-F238E27FC236}">
              <a16:creationId xmlns:a16="http://schemas.microsoft.com/office/drawing/2014/main" id="{9BA5D42E-8404-46B8-9CA6-00AF34B61D65}"/>
            </a:ext>
          </a:extLst>
        </xdr:cNvPr>
        <xdr:cNvSpPr/>
      </xdr:nvSpPr>
      <xdr:spPr>
        <a:xfrm>
          <a:off x="8344530" y="1374520"/>
          <a:ext cx="2500956" cy="91356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329837</xdr:colOff>
      <xdr:row>9</xdr:row>
      <xdr:rowOff>83990</xdr:rowOff>
    </xdr:from>
    <xdr:to>
      <xdr:col>12</xdr:col>
      <xdr:colOff>484296</xdr:colOff>
      <xdr:row>12</xdr:row>
      <xdr:rowOff>53098</xdr:rowOff>
    </xdr:to>
    <xdr:sp macro="" textlink="Sheet2!B166">
      <xdr:nvSpPr>
        <xdr:cNvPr id="9" name="TextBox 8">
          <a:extLst>
            <a:ext uri="{FF2B5EF4-FFF2-40B4-BE49-F238E27FC236}">
              <a16:creationId xmlns:a16="http://schemas.microsoft.com/office/drawing/2014/main" id="{104C33CE-D043-0921-5CA1-6B579DA75169}"/>
            </a:ext>
          </a:extLst>
        </xdr:cNvPr>
        <xdr:cNvSpPr txBox="1"/>
      </xdr:nvSpPr>
      <xdr:spPr>
        <a:xfrm>
          <a:off x="5794806" y="1691334"/>
          <a:ext cx="1976115" cy="504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2AEA17-7FAB-4B01-AFAA-A3D882549467}" type="TxLink">
            <a:rPr lang="en-US" sz="1600" b="1" i="0" u="none" strike="noStrike">
              <a:solidFill>
                <a:srgbClr val="000000"/>
              </a:solidFill>
              <a:latin typeface="Segoe UI Semibold" panose="020B0702040204020203" pitchFamily="34" charset="0"/>
              <a:cs typeface="Segoe UI Semibold" panose="020B0702040204020203" pitchFamily="34" charset="0"/>
            </a:rPr>
            <a:pPr algn="ctr"/>
            <a:t>₹ 3,01,714.14</a:t>
          </a:fld>
          <a:endParaRPr lang="en-IN" sz="1600" b="1">
            <a:latin typeface="Segoe UI Semibold" panose="020B0702040204020203" pitchFamily="34" charset="0"/>
            <a:cs typeface="Segoe UI Semibold" panose="020B0702040204020203" pitchFamily="34" charset="0"/>
          </a:endParaRPr>
        </a:p>
      </xdr:txBody>
    </xdr:sp>
    <xdr:clientData/>
  </xdr:twoCellAnchor>
  <xdr:twoCellAnchor>
    <xdr:from>
      <xdr:col>19</xdr:col>
      <xdr:colOff>387178</xdr:colOff>
      <xdr:row>8</xdr:row>
      <xdr:rowOff>14867</xdr:rowOff>
    </xdr:from>
    <xdr:to>
      <xdr:col>22</xdr:col>
      <xdr:colOff>514865</xdr:colOff>
      <xdr:row>10</xdr:row>
      <xdr:rowOff>14867</xdr:rowOff>
    </xdr:to>
    <xdr:sp macro="" textlink="Sheet2!B165">
      <xdr:nvSpPr>
        <xdr:cNvPr id="12" name="TextBox 11">
          <a:extLst>
            <a:ext uri="{FF2B5EF4-FFF2-40B4-BE49-F238E27FC236}">
              <a16:creationId xmlns:a16="http://schemas.microsoft.com/office/drawing/2014/main" id="{BE8A2E97-1E36-4D65-8BE5-94F48F64B079}"/>
            </a:ext>
          </a:extLst>
        </xdr:cNvPr>
        <xdr:cNvSpPr txBox="1"/>
      </xdr:nvSpPr>
      <xdr:spPr>
        <a:xfrm>
          <a:off x="11924334" y="1443617"/>
          <a:ext cx="1949344" cy="357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a:solidFill>
                <a:schemeClr val="tx1"/>
              </a:solidFill>
            </a:rPr>
            <a:t>NET</a:t>
          </a:r>
          <a:r>
            <a:rPr lang="en-IN" sz="1600" b="1" i="0" baseline="0">
              <a:solidFill>
                <a:schemeClr val="tx1"/>
              </a:solidFill>
            </a:rPr>
            <a:t> CASH FLOW</a:t>
          </a:r>
          <a:endParaRPr lang="en-IN" sz="1600" b="1" i="0">
            <a:solidFill>
              <a:schemeClr val="tx1"/>
            </a:solidFill>
          </a:endParaRPr>
        </a:p>
      </xdr:txBody>
    </xdr:sp>
    <xdr:clientData/>
  </xdr:twoCellAnchor>
  <xdr:twoCellAnchor>
    <xdr:from>
      <xdr:col>14</xdr:col>
      <xdr:colOff>398670</xdr:colOff>
      <xdr:row>8</xdr:row>
      <xdr:rowOff>7808</xdr:rowOff>
    </xdr:from>
    <xdr:to>
      <xdr:col>17</xdr:col>
      <xdr:colOff>526358</xdr:colOff>
      <xdr:row>10</xdr:row>
      <xdr:rowOff>7808</xdr:rowOff>
    </xdr:to>
    <xdr:sp macro="" textlink="Sheet2!B165">
      <xdr:nvSpPr>
        <xdr:cNvPr id="13" name="TextBox 12">
          <a:extLst>
            <a:ext uri="{FF2B5EF4-FFF2-40B4-BE49-F238E27FC236}">
              <a16:creationId xmlns:a16="http://schemas.microsoft.com/office/drawing/2014/main" id="{1C6D181F-C588-40F4-A694-B37E0F58896B}"/>
            </a:ext>
          </a:extLst>
        </xdr:cNvPr>
        <xdr:cNvSpPr txBox="1"/>
      </xdr:nvSpPr>
      <xdr:spPr>
        <a:xfrm>
          <a:off x="8899733" y="1436558"/>
          <a:ext cx="1949344" cy="357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a:solidFill>
                <a:schemeClr val="tx1"/>
              </a:solidFill>
            </a:rPr>
            <a:t>TOTAL</a:t>
          </a:r>
          <a:r>
            <a:rPr lang="en-IN" sz="1600" b="1" i="0" baseline="0">
              <a:solidFill>
                <a:schemeClr val="tx1"/>
              </a:solidFill>
            </a:rPr>
            <a:t> EXPENSE</a:t>
          </a:r>
          <a:endParaRPr lang="en-IN" sz="1600" b="1" i="0">
            <a:solidFill>
              <a:schemeClr val="tx1"/>
            </a:solidFill>
          </a:endParaRPr>
        </a:p>
      </xdr:txBody>
    </xdr:sp>
    <xdr:clientData/>
  </xdr:twoCellAnchor>
  <xdr:twoCellAnchor>
    <xdr:from>
      <xdr:col>9</xdr:col>
      <xdr:colOff>358927</xdr:colOff>
      <xdr:row>8</xdr:row>
      <xdr:rowOff>22651</xdr:rowOff>
    </xdr:from>
    <xdr:to>
      <xdr:col>12</xdr:col>
      <xdr:colOff>486614</xdr:colOff>
      <xdr:row>10</xdr:row>
      <xdr:rowOff>22651</xdr:rowOff>
    </xdr:to>
    <xdr:sp macro="" textlink="Sheet2!B165">
      <xdr:nvSpPr>
        <xdr:cNvPr id="14" name="TextBox 13">
          <a:extLst>
            <a:ext uri="{FF2B5EF4-FFF2-40B4-BE49-F238E27FC236}">
              <a16:creationId xmlns:a16="http://schemas.microsoft.com/office/drawing/2014/main" id="{361E8790-C991-401D-95D2-EA18874CE408}"/>
            </a:ext>
          </a:extLst>
        </xdr:cNvPr>
        <xdr:cNvSpPr txBox="1"/>
      </xdr:nvSpPr>
      <xdr:spPr>
        <a:xfrm>
          <a:off x="5823896" y="1451401"/>
          <a:ext cx="1949343" cy="357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a:solidFill>
                <a:schemeClr val="tx1"/>
              </a:solidFill>
            </a:rPr>
            <a:t>TOTAL</a:t>
          </a:r>
          <a:r>
            <a:rPr lang="en-IN" sz="1600" b="1" i="0" baseline="0">
              <a:solidFill>
                <a:schemeClr val="tx1"/>
              </a:solidFill>
            </a:rPr>
            <a:t> INCOME</a:t>
          </a:r>
          <a:endParaRPr lang="en-IN" sz="1600" b="1" i="0">
            <a:solidFill>
              <a:schemeClr val="tx1"/>
            </a:solidFill>
          </a:endParaRPr>
        </a:p>
      </xdr:txBody>
    </xdr:sp>
    <xdr:clientData/>
  </xdr:twoCellAnchor>
  <xdr:twoCellAnchor>
    <xdr:from>
      <xdr:col>15</xdr:col>
      <xdr:colOff>207626</xdr:colOff>
      <xdr:row>9</xdr:row>
      <xdr:rowOff>77684</xdr:rowOff>
    </xdr:from>
    <xdr:to>
      <xdr:col>18</xdr:col>
      <xdr:colOff>416394</xdr:colOff>
      <xdr:row>12</xdr:row>
      <xdr:rowOff>5603</xdr:rowOff>
    </xdr:to>
    <xdr:sp macro="" textlink="Sheet2!F155">
      <xdr:nvSpPr>
        <xdr:cNvPr id="15" name="TextBox 14">
          <a:extLst>
            <a:ext uri="{FF2B5EF4-FFF2-40B4-BE49-F238E27FC236}">
              <a16:creationId xmlns:a16="http://schemas.microsoft.com/office/drawing/2014/main" id="{291364C3-C438-1F37-3F1F-75488A832A9F}"/>
            </a:ext>
          </a:extLst>
        </xdr:cNvPr>
        <xdr:cNvSpPr txBox="1"/>
      </xdr:nvSpPr>
      <xdr:spPr>
        <a:xfrm>
          <a:off x="9315907" y="1685028"/>
          <a:ext cx="2030425" cy="463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2E59F144-9573-444E-8E85-1258A078D701}" type="TxLink">
            <a:rPr lang="en-US" sz="1600" b="1" i="0" u="none" strike="noStrike">
              <a:solidFill>
                <a:srgbClr val="000000"/>
              </a:solidFill>
              <a:latin typeface="Segoe UI Semibold" panose="020B0702040204020203" pitchFamily="34" charset="0"/>
              <a:cs typeface="Segoe UI Semibold" panose="020B0702040204020203" pitchFamily="34" charset="0"/>
            </a:rPr>
            <a:pPr/>
            <a:t>₹ 92,980.3</a:t>
          </a:fld>
          <a:endParaRPr lang="en-US" sz="2400" b="1">
            <a:latin typeface="Segoe UI Semibold" panose="020B0702040204020203" pitchFamily="34" charset="0"/>
            <a:cs typeface="Segoe UI Semibold" panose="020B0702040204020203" pitchFamily="34" charset="0"/>
          </a:endParaRPr>
        </a:p>
      </xdr:txBody>
    </xdr:sp>
    <xdr:clientData/>
  </xdr:twoCellAnchor>
  <xdr:twoCellAnchor>
    <xdr:from>
      <xdr:col>20</xdr:col>
      <xdr:colOff>38291</xdr:colOff>
      <xdr:row>9</xdr:row>
      <xdr:rowOff>102974</xdr:rowOff>
    </xdr:from>
    <xdr:to>
      <xdr:col>23</xdr:col>
      <xdr:colOff>38292</xdr:colOff>
      <xdr:row>12</xdr:row>
      <xdr:rowOff>1</xdr:rowOff>
    </xdr:to>
    <xdr:sp macro="" textlink="Sheet2!D166">
      <xdr:nvSpPr>
        <xdr:cNvPr id="16" name="TextBox 15">
          <a:extLst>
            <a:ext uri="{FF2B5EF4-FFF2-40B4-BE49-F238E27FC236}">
              <a16:creationId xmlns:a16="http://schemas.microsoft.com/office/drawing/2014/main" id="{E79AFFFD-014A-14CD-1042-C88AF5DB6B5E}"/>
            </a:ext>
          </a:extLst>
        </xdr:cNvPr>
        <xdr:cNvSpPr txBox="1"/>
      </xdr:nvSpPr>
      <xdr:spPr>
        <a:xfrm>
          <a:off x="12182666" y="1710318"/>
          <a:ext cx="1821657" cy="432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B587C6D3-E7CF-4D06-892D-DA1078762F59}" type="TxLink">
            <a:rPr lang="en-US" sz="1600" b="1" i="0" u="none" strike="noStrike">
              <a:solidFill>
                <a:srgbClr val="000000"/>
              </a:solidFill>
              <a:latin typeface="Segoe UI Semibold" panose="020B0702040204020203" pitchFamily="34" charset="0"/>
              <a:cs typeface="Segoe UI Semibold" panose="020B0702040204020203" pitchFamily="34" charset="0"/>
            </a:rPr>
            <a:pPr/>
            <a:t>₹ 2,08,733.84</a:t>
          </a:fld>
          <a:endParaRPr lang="en-IN" sz="1600" b="1">
            <a:latin typeface="Segoe UI Semibold" panose="020B0702040204020203" pitchFamily="34" charset="0"/>
            <a:cs typeface="Segoe UI Semibold" panose="020B0702040204020203" pitchFamily="34" charset="0"/>
          </a:endParaRPr>
        </a:p>
      </xdr:txBody>
    </xdr:sp>
    <xdr:clientData/>
  </xdr:twoCellAnchor>
  <xdr:twoCellAnchor>
    <xdr:from>
      <xdr:col>5</xdr:col>
      <xdr:colOff>182453</xdr:colOff>
      <xdr:row>14</xdr:row>
      <xdr:rowOff>75128</xdr:rowOff>
    </xdr:from>
    <xdr:to>
      <xdr:col>15</xdr:col>
      <xdr:colOff>483974</xdr:colOff>
      <xdr:row>27</xdr:row>
      <xdr:rowOff>150254</xdr:rowOff>
    </xdr:to>
    <xdr:sp macro="" textlink="">
      <xdr:nvSpPr>
        <xdr:cNvPr id="26" name="Rectangle 25">
          <a:extLst>
            <a:ext uri="{FF2B5EF4-FFF2-40B4-BE49-F238E27FC236}">
              <a16:creationId xmlns:a16="http://schemas.microsoft.com/office/drawing/2014/main" id="{4654B2A6-8B10-4A15-C819-DEF93130F0B3}"/>
            </a:ext>
          </a:extLst>
        </xdr:cNvPr>
        <xdr:cNvSpPr/>
      </xdr:nvSpPr>
      <xdr:spPr>
        <a:xfrm>
          <a:off x="3220156" y="2670047"/>
          <a:ext cx="6376926" cy="248469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220579</xdr:colOff>
      <xdr:row>14</xdr:row>
      <xdr:rowOff>96591</xdr:rowOff>
    </xdr:from>
    <xdr:to>
      <xdr:col>15</xdr:col>
      <xdr:colOff>459828</xdr:colOff>
      <xdr:row>27</xdr:row>
      <xdr:rowOff>101839</xdr:rowOff>
    </xdr:to>
    <xdr:graphicFrame macro="">
      <xdr:nvGraphicFramePr>
        <xdr:cNvPr id="27" name="Chart 26">
          <a:extLst>
            <a:ext uri="{FF2B5EF4-FFF2-40B4-BE49-F238E27FC236}">
              <a16:creationId xmlns:a16="http://schemas.microsoft.com/office/drawing/2014/main" id="{D50B6765-AB14-4378-883E-25CFAE420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602463</xdr:colOff>
      <xdr:row>14</xdr:row>
      <xdr:rowOff>74692</xdr:rowOff>
    </xdr:from>
    <xdr:to>
      <xdr:col>23</xdr:col>
      <xdr:colOff>329514</xdr:colOff>
      <xdr:row>27</xdr:row>
      <xdr:rowOff>150833</xdr:rowOff>
    </xdr:to>
    <xdr:sp macro="" textlink="">
      <xdr:nvSpPr>
        <xdr:cNvPr id="5" name="Rectangle 4">
          <a:extLst>
            <a:ext uri="{FF2B5EF4-FFF2-40B4-BE49-F238E27FC236}">
              <a16:creationId xmlns:a16="http://schemas.microsoft.com/office/drawing/2014/main" id="{4DCFBC5F-9D1A-5E00-E4D3-DC01EDEC5109}"/>
            </a:ext>
          </a:extLst>
        </xdr:cNvPr>
        <xdr:cNvSpPr/>
      </xdr:nvSpPr>
      <xdr:spPr>
        <a:xfrm>
          <a:off x="9715571" y="2669611"/>
          <a:ext cx="4587375" cy="248570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41189</xdr:colOff>
      <xdr:row>14</xdr:row>
      <xdr:rowOff>96157</xdr:rowOff>
    </xdr:from>
    <xdr:to>
      <xdr:col>23</xdr:col>
      <xdr:colOff>289034</xdr:colOff>
      <xdr:row>27</xdr:row>
      <xdr:rowOff>114659</xdr:rowOff>
    </xdr:to>
    <xdr:graphicFrame macro="">
      <xdr:nvGraphicFramePr>
        <xdr:cNvPr id="10" name="Chart 9">
          <a:extLst>
            <a:ext uri="{FF2B5EF4-FFF2-40B4-BE49-F238E27FC236}">
              <a16:creationId xmlns:a16="http://schemas.microsoft.com/office/drawing/2014/main" id="{CF712CB0-E42E-429B-8026-D9DF6972AA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193184</xdr:colOff>
      <xdr:row>28</xdr:row>
      <xdr:rowOff>85860</xdr:rowOff>
    </xdr:from>
    <xdr:to>
      <xdr:col>15</xdr:col>
      <xdr:colOff>547353</xdr:colOff>
      <xdr:row>43</xdr:row>
      <xdr:rowOff>150254</xdr:rowOff>
    </xdr:to>
    <xdr:sp macro="" textlink="">
      <xdr:nvSpPr>
        <xdr:cNvPr id="11" name="Rectangle 10">
          <a:extLst>
            <a:ext uri="{FF2B5EF4-FFF2-40B4-BE49-F238E27FC236}">
              <a16:creationId xmlns:a16="http://schemas.microsoft.com/office/drawing/2014/main" id="{3310DBED-9530-2B83-793F-553EF7887323}"/>
            </a:ext>
          </a:extLst>
        </xdr:cNvPr>
        <xdr:cNvSpPr/>
      </xdr:nvSpPr>
      <xdr:spPr>
        <a:xfrm>
          <a:off x="3251916" y="5194480"/>
          <a:ext cx="6471634" cy="280115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230606</xdr:colOff>
      <xdr:row>28</xdr:row>
      <xdr:rowOff>131379</xdr:rowOff>
    </xdr:from>
    <xdr:to>
      <xdr:col>15</xdr:col>
      <xdr:colOff>512380</xdr:colOff>
      <xdr:row>43</xdr:row>
      <xdr:rowOff>113764</xdr:rowOff>
    </xdr:to>
    <xdr:graphicFrame macro="">
      <xdr:nvGraphicFramePr>
        <xdr:cNvPr id="17" name="Chart 16">
          <a:extLst>
            <a:ext uri="{FF2B5EF4-FFF2-40B4-BE49-F238E27FC236}">
              <a16:creationId xmlns:a16="http://schemas.microsoft.com/office/drawing/2014/main" id="{080002D1-0D78-41B5-86F0-1AAF5A4EFE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56178</xdr:colOff>
      <xdr:row>28</xdr:row>
      <xdr:rowOff>96593</xdr:rowOff>
    </xdr:from>
    <xdr:to>
      <xdr:col>26</xdr:col>
      <xdr:colOff>500062</xdr:colOff>
      <xdr:row>43</xdr:row>
      <xdr:rowOff>139521</xdr:rowOff>
    </xdr:to>
    <xdr:sp macro="" textlink="">
      <xdr:nvSpPr>
        <xdr:cNvPr id="19" name="Rectangle 18">
          <a:extLst>
            <a:ext uri="{FF2B5EF4-FFF2-40B4-BE49-F238E27FC236}">
              <a16:creationId xmlns:a16="http://schemas.microsoft.com/office/drawing/2014/main" id="{EDF01B6C-5B78-B90B-D40E-AB75F7C3DE84}"/>
            </a:ext>
          </a:extLst>
        </xdr:cNvPr>
        <xdr:cNvSpPr/>
      </xdr:nvSpPr>
      <xdr:spPr>
        <a:xfrm>
          <a:off x="9771678" y="5097218"/>
          <a:ext cx="6516072" cy="272183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83344</xdr:colOff>
      <xdr:row>28</xdr:row>
      <xdr:rowOff>140696</xdr:rowOff>
    </xdr:from>
    <xdr:to>
      <xdr:col>26</xdr:col>
      <xdr:colOff>464343</xdr:colOff>
      <xdr:row>43</xdr:row>
      <xdr:rowOff>97767</xdr:rowOff>
    </xdr:to>
    <xdr:graphicFrame macro="">
      <xdr:nvGraphicFramePr>
        <xdr:cNvPr id="21" name="Chart 20">
          <a:extLst>
            <a:ext uri="{FF2B5EF4-FFF2-40B4-BE49-F238E27FC236}">
              <a16:creationId xmlns:a16="http://schemas.microsoft.com/office/drawing/2014/main" id="{F14BA690-F79C-49E2-AE34-D168EC37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573314</xdr:colOff>
      <xdr:row>44</xdr:row>
      <xdr:rowOff>87599</xdr:rowOff>
    </xdr:from>
    <xdr:to>
      <xdr:col>26</xdr:col>
      <xdr:colOff>530383</xdr:colOff>
      <xdr:row>61</xdr:row>
      <xdr:rowOff>102973</xdr:rowOff>
    </xdr:to>
    <xdr:sp macro="" textlink="">
      <xdr:nvSpPr>
        <xdr:cNvPr id="28" name="Rectangle 27">
          <a:extLst>
            <a:ext uri="{FF2B5EF4-FFF2-40B4-BE49-F238E27FC236}">
              <a16:creationId xmlns:a16="http://schemas.microsoft.com/office/drawing/2014/main" id="{8DCDD47A-1673-3FBA-0DBC-165C7E3E281C}"/>
            </a:ext>
          </a:extLst>
        </xdr:cNvPr>
        <xdr:cNvSpPr/>
      </xdr:nvSpPr>
      <xdr:spPr>
        <a:xfrm>
          <a:off x="7863800" y="8243058"/>
          <a:ext cx="8462637" cy="316634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595313</xdr:colOff>
      <xdr:row>44</xdr:row>
      <xdr:rowOff>119063</xdr:rowOff>
    </xdr:from>
    <xdr:to>
      <xdr:col>26</xdr:col>
      <xdr:colOff>500061</xdr:colOff>
      <xdr:row>61</xdr:row>
      <xdr:rowOff>47625</xdr:rowOff>
    </xdr:to>
    <xdr:graphicFrame macro="">
      <xdr:nvGraphicFramePr>
        <xdr:cNvPr id="29" name="Chart 28">
          <a:extLst>
            <a:ext uri="{FF2B5EF4-FFF2-40B4-BE49-F238E27FC236}">
              <a16:creationId xmlns:a16="http://schemas.microsoft.com/office/drawing/2014/main" id="{863BB3DC-8AE3-4BC7-95A6-AA6CF4C6E3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422189</xdr:colOff>
      <xdr:row>14</xdr:row>
      <xdr:rowOff>92675</xdr:rowOff>
    </xdr:from>
    <xdr:to>
      <xdr:col>26</xdr:col>
      <xdr:colOff>525161</xdr:colOff>
      <xdr:row>27</xdr:row>
      <xdr:rowOff>164757</xdr:rowOff>
    </xdr:to>
    <xdr:sp macro="" textlink="">
      <xdr:nvSpPr>
        <xdr:cNvPr id="30" name="Rectangle 29">
          <a:extLst>
            <a:ext uri="{FF2B5EF4-FFF2-40B4-BE49-F238E27FC236}">
              <a16:creationId xmlns:a16="http://schemas.microsoft.com/office/drawing/2014/main" id="{D39096DF-1469-1CB5-36EC-74E7DDA3689F}"/>
            </a:ext>
          </a:extLst>
        </xdr:cNvPr>
        <xdr:cNvSpPr/>
      </xdr:nvSpPr>
      <xdr:spPr>
        <a:xfrm>
          <a:off x="14395621" y="2687594"/>
          <a:ext cx="1925594" cy="248164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23</xdr:col>
      <xdr:colOff>473676</xdr:colOff>
      <xdr:row>14</xdr:row>
      <xdr:rowOff>137138</xdr:rowOff>
    </xdr:from>
    <xdr:to>
      <xdr:col>26</xdr:col>
      <xdr:colOff>479854</xdr:colOff>
      <xdr:row>21</xdr:row>
      <xdr:rowOff>64625</xdr:rowOff>
    </xdr:to>
    <mc:AlternateContent xmlns:mc="http://schemas.openxmlformats.org/markup-compatibility/2006" xmlns:a14="http://schemas.microsoft.com/office/drawing/2010/main">
      <mc:Choice Requires="a14">
        <xdr:graphicFrame macro="">
          <xdr:nvGraphicFramePr>
            <xdr:cNvPr id="24" name="Account 1">
              <a:extLst>
                <a:ext uri="{FF2B5EF4-FFF2-40B4-BE49-F238E27FC236}">
                  <a16:creationId xmlns:a16="http://schemas.microsoft.com/office/drawing/2014/main" id="{B1B14A30-7153-4E69-86DE-AA5C1EA7B52F}"/>
                </a:ext>
              </a:extLst>
            </xdr:cNvPr>
            <xdr:cNvGraphicFramePr/>
          </xdr:nvGraphicFramePr>
          <xdr:xfrm>
            <a:off x="0" y="0"/>
            <a:ext cx="0" cy="0"/>
          </xdr:xfrm>
          <a:graphic>
            <a:graphicData uri="http://schemas.microsoft.com/office/drawing/2010/slicer">
              <sle:slicer xmlns:sle="http://schemas.microsoft.com/office/drawing/2010/slicer" name="Account 1"/>
            </a:graphicData>
          </a:graphic>
        </xdr:graphicFrame>
      </mc:Choice>
      <mc:Fallback xmlns="">
        <xdr:sp macro="" textlink="">
          <xdr:nvSpPr>
            <xdr:cNvPr id="0" name=""/>
            <xdr:cNvSpPr>
              <a:spLocks noTextEdit="1"/>
            </xdr:cNvSpPr>
          </xdr:nvSpPr>
          <xdr:spPr>
            <a:xfrm>
              <a:off x="14373607" y="2712172"/>
              <a:ext cx="1819213" cy="12150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460538</xdr:colOff>
      <xdr:row>21</xdr:row>
      <xdr:rowOff>139546</xdr:rowOff>
    </xdr:from>
    <xdr:to>
      <xdr:col>26</xdr:col>
      <xdr:colOff>466716</xdr:colOff>
      <xdr:row>27</xdr:row>
      <xdr:rowOff>129249</xdr:rowOff>
    </xdr:to>
    <mc:AlternateContent xmlns:mc="http://schemas.openxmlformats.org/markup-compatibility/2006" xmlns:a14="http://schemas.microsoft.com/office/drawing/2010/main">
      <mc:Choice Requires="a14">
        <xdr:graphicFrame macro="">
          <xdr:nvGraphicFramePr>
            <xdr:cNvPr id="25" name="Type 1">
              <a:extLst>
                <a:ext uri="{FF2B5EF4-FFF2-40B4-BE49-F238E27FC236}">
                  <a16:creationId xmlns:a16="http://schemas.microsoft.com/office/drawing/2014/main" id="{969432BD-03EA-4922-84AF-663D20A78B77}"/>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14360469" y="4002098"/>
              <a:ext cx="1819213" cy="10932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198490</xdr:colOff>
      <xdr:row>44</xdr:row>
      <xdr:rowOff>85220</xdr:rowOff>
    </xdr:from>
    <xdr:to>
      <xdr:col>12</xdr:col>
      <xdr:colOff>466221</xdr:colOff>
      <xdr:row>61</xdr:row>
      <xdr:rowOff>95517</xdr:rowOff>
    </xdr:to>
    <xdr:sp macro="" textlink="">
      <xdr:nvSpPr>
        <xdr:cNvPr id="23" name="Rectangle 22">
          <a:extLst>
            <a:ext uri="{FF2B5EF4-FFF2-40B4-BE49-F238E27FC236}">
              <a16:creationId xmlns:a16="http://schemas.microsoft.com/office/drawing/2014/main" id="{A5503F24-4ACF-D545-1159-79FFE338E18A}"/>
            </a:ext>
          </a:extLst>
        </xdr:cNvPr>
        <xdr:cNvSpPr/>
      </xdr:nvSpPr>
      <xdr:spPr>
        <a:xfrm>
          <a:off x="3220214" y="8178186"/>
          <a:ext cx="4498145" cy="31371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233717</xdr:colOff>
      <xdr:row>44</xdr:row>
      <xdr:rowOff>102973</xdr:rowOff>
    </xdr:from>
    <xdr:to>
      <xdr:col>12</xdr:col>
      <xdr:colOff>424217</xdr:colOff>
      <xdr:row>61</xdr:row>
      <xdr:rowOff>40105</xdr:rowOff>
    </xdr:to>
    <xdr:graphicFrame macro="">
      <xdr:nvGraphicFramePr>
        <xdr:cNvPr id="31" name="Chart 30">
          <a:extLst>
            <a:ext uri="{FF2B5EF4-FFF2-40B4-BE49-F238E27FC236}">
              <a16:creationId xmlns:a16="http://schemas.microsoft.com/office/drawing/2014/main" id="{F3C4601F-B917-4EE9-B269-E239BC59AD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78827</xdr:colOff>
      <xdr:row>45</xdr:row>
      <xdr:rowOff>0</xdr:rowOff>
    </xdr:from>
    <xdr:to>
      <xdr:col>12</xdr:col>
      <xdr:colOff>354724</xdr:colOff>
      <xdr:row>47</xdr:row>
      <xdr:rowOff>52552</xdr:rowOff>
    </xdr:to>
    <xdr:sp macro="" textlink="">
      <xdr:nvSpPr>
        <xdr:cNvPr id="32" name="TextBox 31">
          <a:extLst>
            <a:ext uri="{FF2B5EF4-FFF2-40B4-BE49-F238E27FC236}">
              <a16:creationId xmlns:a16="http://schemas.microsoft.com/office/drawing/2014/main" id="{75C4DA32-5A70-281D-AE3E-11FBD9F07F27}"/>
            </a:ext>
          </a:extLst>
        </xdr:cNvPr>
        <xdr:cNvSpPr txBox="1"/>
      </xdr:nvSpPr>
      <xdr:spPr>
        <a:xfrm>
          <a:off x="4309241" y="8276897"/>
          <a:ext cx="3297621" cy="420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latin typeface="Arial Black" panose="020B0A04020102020204" pitchFamily="34" charset="0"/>
            </a:rPr>
            <a:t>EXPENSE</a:t>
          </a:r>
          <a:r>
            <a:rPr lang="en-IN" sz="1200" baseline="0">
              <a:latin typeface="Arial Black" panose="020B0A04020102020204" pitchFamily="34" charset="0"/>
            </a:rPr>
            <a:t> BY ACCOUNT</a:t>
          </a:r>
          <a:endParaRPr lang="en-IN" sz="1200">
            <a:latin typeface="Arial Black" panose="020B0A04020102020204" pitchFamily="34" charset="0"/>
          </a:endParaRPr>
        </a:p>
      </xdr:txBody>
    </xdr:sp>
    <xdr:clientData/>
  </xdr:twoCellAnchor>
  <xdr:twoCellAnchor editAs="oneCell">
    <xdr:from>
      <xdr:col>8</xdr:col>
      <xdr:colOff>476248</xdr:colOff>
      <xdr:row>7</xdr:row>
      <xdr:rowOff>59531</xdr:rowOff>
    </xdr:from>
    <xdr:to>
      <xdr:col>10</xdr:col>
      <xdr:colOff>107155</xdr:colOff>
      <xdr:row>12</xdr:row>
      <xdr:rowOff>11907</xdr:rowOff>
    </xdr:to>
    <xdr:pic>
      <xdr:nvPicPr>
        <xdr:cNvPr id="37" name="Picture 36">
          <a:extLst>
            <a:ext uri="{FF2B5EF4-FFF2-40B4-BE49-F238E27FC236}">
              <a16:creationId xmlns:a16="http://schemas.microsoft.com/office/drawing/2014/main" id="{35FF94BC-845D-B31F-94B3-D2FC2A36546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333998" y="1309687"/>
          <a:ext cx="845345" cy="845345"/>
        </a:xfrm>
        <a:prstGeom prst="rect">
          <a:avLst/>
        </a:prstGeom>
      </xdr:spPr>
    </xdr:pic>
    <xdr:clientData/>
  </xdr:twoCellAnchor>
  <xdr:twoCellAnchor editAs="oneCell">
    <xdr:from>
      <xdr:col>13</xdr:col>
      <xdr:colOff>500061</xdr:colOff>
      <xdr:row>7</xdr:row>
      <xdr:rowOff>59530</xdr:rowOff>
    </xdr:from>
    <xdr:to>
      <xdr:col>15</xdr:col>
      <xdr:colOff>142875</xdr:colOff>
      <xdr:row>12</xdr:row>
      <xdr:rowOff>23812</xdr:rowOff>
    </xdr:to>
    <xdr:pic>
      <xdr:nvPicPr>
        <xdr:cNvPr id="39" name="Picture 38">
          <a:extLst>
            <a:ext uri="{FF2B5EF4-FFF2-40B4-BE49-F238E27FC236}">
              <a16:creationId xmlns:a16="http://schemas.microsoft.com/office/drawing/2014/main" id="{588D4837-E664-0F06-57D3-99DD220C2B8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393905" y="1309686"/>
          <a:ext cx="857251" cy="857251"/>
        </a:xfrm>
        <a:prstGeom prst="rect">
          <a:avLst/>
        </a:prstGeom>
      </xdr:spPr>
    </xdr:pic>
    <xdr:clientData/>
  </xdr:twoCellAnchor>
  <xdr:twoCellAnchor editAs="oneCell">
    <xdr:from>
      <xdr:col>18</xdr:col>
      <xdr:colOff>381000</xdr:colOff>
      <xdr:row>7</xdr:row>
      <xdr:rowOff>95250</xdr:rowOff>
    </xdr:from>
    <xdr:to>
      <xdr:col>20</xdr:col>
      <xdr:colOff>1</xdr:colOff>
      <xdr:row>12</xdr:row>
      <xdr:rowOff>35719</xdr:rowOff>
    </xdr:to>
    <xdr:pic>
      <xdr:nvPicPr>
        <xdr:cNvPr id="41" name="Picture 40">
          <a:extLst>
            <a:ext uri="{FF2B5EF4-FFF2-40B4-BE49-F238E27FC236}">
              <a16:creationId xmlns:a16="http://schemas.microsoft.com/office/drawing/2014/main" id="{53099E27-F0F0-94EE-30E5-BC4A87C701B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310938" y="1345406"/>
          <a:ext cx="833438" cy="833438"/>
        </a:xfrm>
        <a:prstGeom prst="rect">
          <a:avLst/>
        </a:prstGeom>
      </xdr:spPr>
    </xdr:pic>
    <xdr:clientData/>
  </xdr:twoCellAnchor>
  <mc:AlternateContent xmlns:mc="http://schemas.openxmlformats.org/markup-compatibility/2006">
    <mc:Choice xmlns:a14="http://schemas.microsoft.com/office/drawing/2010/main" Requires="a14">
      <xdr:twoCellAnchor>
        <xdr:from>
          <xdr:col>23</xdr:col>
          <xdr:colOff>454250</xdr:colOff>
          <xdr:row>7</xdr:row>
          <xdr:rowOff>179930</xdr:rowOff>
        </xdr:from>
        <xdr:to>
          <xdr:col>26</xdr:col>
          <xdr:colOff>266454</xdr:colOff>
          <xdr:row>12</xdr:row>
          <xdr:rowOff>42770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IN" sz="1600" b="1" i="0" u="none" strike="noStrike" baseline="0">
                  <a:solidFill>
                    <a:srgbClr val="000000"/>
                  </a:solidFill>
                  <a:latin typeface="Segoe UI Semibold"/>
                  <a:cs typeface="Segoe UI Semibold"/>
                </a:rPr>
                <a:t>RESET</a:t>
              </a:r>
            </a:p>
          </xdr:txBody>
        </xdr:sp>
        <xdr:clientData fPrintsWithSheet="0"/>
      </xdr:twoCellAnchor>
    </mc:Choice>
    <mc:Fallback/>
  </mc:AlternateContent>
  <xdr:twoCellAnchor>
    <xdr:from>
      <xdr:col>19</xdr:col>
      <xdr:colOff>153960</xdr:colOff>
      <xdr:row>14</xdr:row>
      <xdr:rowOff>133021</xdr:rowOff>
    </xdr:from>
    <xdr:to>
      <xdr:col>24</xdr:col>
      <xdr:colOff>429857</xdr:colOff>
      <xdr:row>17</xdr:row>
      <xdr:rowOff>6979</xdr:rowOff>
    </xdr:to>
    <xdr:sp macro="" textlink="">
      <xdr:nvSpPr>
        <xdr:cNvPr id="18" name="TextBox 17">
          <a:extLst>
            <a:ext uri="{FF2B5EF4-FFF2-40B4-BE49-F238E27FC236}">
              <a16:creationId xmlns:a16="http://schemas.microsoft.com/office/drawing/2014/main" id="{956ED267-A5FB-464E-9DEE-AAEB656156D3}"/>
            </a:ext>
          </a:extLst>
        </xdr:cNvPr>
        <xdr:cNvSpPr txBox="1"/>
      </xdr:nvSpPr>
      <xdr:spPr>
        <a:xfrm>
          <a:off x="11691116" y="2633334"/>
          <a:ext cx="3311991" cy="409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latin typeface="Arial Black" panose="020B0A04020102020204" pitchFamily="34" charset="0"/>
            </a:rPr>
            <a:t>EXPENSE</a:t>
          </a:r>
          <a:r>
            <a:rPr lang="en-IN" sz="1200" baseline="0">
              <a:latin typeface="Arial Black" panose="020B0A04020102020204" pitchFamily="34" charset="0"/>
            </a:rPr>
            <a:t> BY CATEGORY</a:t>
          </a:r>
          <a:endParaRPr lang="en-IN" sz="1200">
            <a:latin typeface="Arial Black" panose="020B0A04020102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rupbhosale" refreshedDate="46274.400045833332" createdVersion="8" refreshedVersion="8" minRefreshableVersion="3" recordCount="1000" xr:uid="{7AAA669D-8707-427D-B08F-68DF09FAFCD7}">
  <cacheSource type="worksheet">
    <worksheetSource ref="A1:J1001" sheet="Personal Finance"/>
  </cacheSource>
  <cacheFields count="13">
    <cacheField name="Transaction ID" numFmtId="0">
      <sharedItems/>
    </cacheField>
    <cacheField name="Date" numFmtId="164">
      <sharedItems containsSemiMixedTypes="0" containsNonDate="0" containsDate="1" containsString="0" minDate="2024-01-01T00:00:00" maxDate="2025-12-31T00:00:00" count="594">
        <d v="2024-01-01T00:00:00"/>
        <d v="2024-01-02T00:00:00"/>
        <d v="2024-01-03T00:00:00"/>
        <d v="2024-01-04T00:00:00"/>
        <d v="2024-01-06T00:00:00"/>
        <d v="2024-01-07T00:00:00"/>
        <d v="2024-01-08T00:00:00"/>
        <d v="2024-01-10T00:00:00"/>
        <d v="2024-01-11T00:00:00"/>
        <d v="2024-01-12T00:00:00"/>
        <d v="2024-01-13T00:00:00"/>
        <d v="2024-01-14T00:00:00"/>
        <d v="2024-01-15T00:00:00"/>
        <d v="2024-01-16T00:00:00"/>
        <d v="2024-01-17T00:00:00"/>
        <d v="2024-01-19T00:00:00"/>
        <d v="2024-01-20T00:00:00"/>
        <d v="2024-01-21T00:00:00"/>
        <d v="2024-01-23T00:00:00"/>
        <d v="2024-01-24T00:00:00"/>
        <d v="2024-01-25T00:00:00"/>
        <d v="2024-01-26T00:00:00"/>
        <d v="2024-01-27T00:00:00"/>
        <d v="2024-01-28T00:00:00"/>
        <d v="2024-01-29T00:00:00"/>
        <d v="2024-01-30T00:00:00"/>
        <d v="2024-01-31T00:00:00"/>
        <d v="2024-02-01T00:00:00"/>
        <d v="2024-02-03T00:00:00"/>
        <d v="2024-02-04T00:00:00"/>
        <d v="2024-02-07T00:00:00"/>
        <d v="2024-02-08T00:00:00"/>
        <d v="2024-02-09T00:00:00"/>
        <d v="2024-02-10T00:00:00"/>
        <d v="2024-02-11T00:00:00"/>
        <d v="2024-02-12T00:00:00"/>
        <d v="2024-02-14T00:00:00"/>
        <d v="2024-02-15T00:00:00"/>
        <d v="2024-02-16T00:00:00"/>
        <d v="2024-02-17T00:00:00"/>
        <d v="2024-02-18T00:00:00"/>
        <d v="2024-02-19T00:00:00"/>
        <d v="2024-02-21T00:00:00"/>
        <d v="2024-02-22T00:00:00"/>
        <d v="2024-02-23T00:00:00"/>
        <d v="2024-02-24T00:00:00"/>
        <d v="2024-02-25T00:00:00"/>
        <d v="2024-02-27T00:00:00"/>
        <d v="2024-03-01T00:00:00"/>
        <d v="2024-03-02T00:00:00"/>
        <d v="2024-03-03T00:00:00"/>
        <d v="2024-03-04T00:00:00"/>
        <d v="2024-03-05T00:00:00"/>
        <d v="2024-03-06T00:00:00"/>
        <d v="2024-03-07T00:00:00"/>
        <d v="2024-03-08T00:00:00"/>
        <d v="2024-03-09T00:00:00"/>
        <d v="2024-03-10T00:00:00"/>
        <d v="2024-03-12T00:00:00"/>
        <d v="2024-03-13T00:00:00"/>
        <d v="2024-03-15T00:00:00"/>
        <d v="2024-03-16T00:00:00"/>
        <d v="2024-03-17T00:00:00"/>
        <d v="2024-03-18T00:00:00"/>
        <d v="2024-03-19T00:00:00"/>
        <d v="2024-03-20T00:00:00"/>
        <d v="2024-03-22T00:00:00"/>
        <d v="2024-03-24T00:00:00"/>
        <d v="2024-03-25T00:00:00"/>
        <d v="2024-03-26T00:00:00"/>
        <d v="2024-03-30T00:00:00"/>
        <d v="2024-03-31T00:00:00"/>
        <d v="2024-04-01T00:00:00"/>
        <d v="2024-04-02T00:00:00"/>
        <d v="2024-04-04T00:00:00"/>
        <d v="2024-04-05T00:00:00"/>
        <d v="2024-04-06T00:00:00"/>
        <d v="2024-04-07T00:00:00"/>
        <d v="2024-04-08T00:00:00"/>
        <d v="2024-04-09T00:00:00"/>
        <d v="2024-04-10T00:00:00"/>
        <d v="2024-04-11T00:00:00"/>
        <d v="2024-04-13T00:00:00"/>
        <d v="2024-04-14T00:00:00"/>
        <d v="2024-04-15T00:00:00"/>
        <d v="2024-04-16T00:00:00"/>
        <d v="2024-04-17T00:00:00"/>
        <d v="2024-04-18T00:00:00"/>
        <d v="2024-04-19T00:00:00"/>
        <d v="2024-04-20T00:00:00"/>
        <d v="2024-04-21T00:00:00"/>
        <d v="2024-04-22T00:00:00"/>
        <d v="2024-04-24T00:00:00"/>
        <d v="2024-04-25T00:00:00"/>
        <d v="2024-04-26T00:00:00"/>
        <d v="2024-04-27T00:00:00"/>
        <d v="2024-04-28T00:00:00"/>
        <d v="2024-04-30T00:00:00"/>
        <d v="2024-05-01T00:00:00"/>
        <d v="2024-05-02T00:00:00"/>
        <d v="2024-05-04T00:00:00"/>
        <d v="2024-05-05T00:00:00"/>
        <d v="2024-05-06T00:00:00"/>
        <d v="2024-05-07T00:00:00"/>
        <d v="2024-05-08T00:00:00"/>
        <d v="2024-05-09T00:00:00"/>
        <d v="2024-05-10T00:00:00"/>
        <d v="2024-05-11T00:00:00"/>
        <d v="2024-05-12T00:00:00"/>
        <d v="2024-05-15T00:00:00"/>
        <d v="2024-05-16T00:00:00"/>
        <d v="2024-05-17T00:00:00"/>
        <d v="2024-05-18T00:00:00"/>
        <d v="2024-05-19T00:00:00"/>
        <d v="2024-05-20T00:00:00"/>
        <d v="2024-05-21T00:00:00"/>
        <d v="2024-05-22T00:00:00"/>
        <d v="2024-05-23T00:00:00"/>
        <d v="2024-05-24T00:00:00"/>
        <d v="2024-05-25T00:00:00"/>
        <d v="2024-05-27T00:00:00"/>
        <d v="2024-05-28T00:00:00"/>
        <d v="2024-05-29T00:00:00"/>
        <d v="2024-05-30T00:00:00"/>
        <d v="2024-06-01T00:00:00"/>
        <d v="2024-06-02T00:00:00"/>
        <d v="2024-06-03T00:00:00"/>
        <d v="2024-06-05T00:00:00"/>
        <d v="2024-06-06T00:00:00"/>
        <d v="2024-06-07T00:00:00"/>
        <d v="2024-06-08T00:00:00"/>
        <d v="2024-06-09T00:00:00"/>
        <d v="2024-06-10T00:00:00"/>
        <d v="2024-06-11T00:00:00"/>
        <d v="2024-06-12T00:00:00"/>
        <d v="2024-06-13T00:00:00"/>
        <d v="2024-06-14T00:00:00"/>
        <d v="2024-06-15T00:00:00"/>
        <d v="2024-06-17T00:00:00"/>
        <d v="2024-06-18T00:00:00"/>
        <d v="2024-06-19T00:00:00"/>
        <d v="2024-06-20T00:00:00"/>
        <d v="2024-06-21T00:00:00"/>
        <d v="2024-06-22T00:00:00"/>
        <d v="2024-06-23T00:00:00"/>
        <d v="2024-06-24T00:00:00"/>
        <d v="2024-06-25T00:00:00"/>
        <d v="2024-06-26T00:00:00"/>
        <d v="2024-06-27T00:00:00"/>
        <d v="2024-06-30T00:00:00"/>
        <d v="2024-07-01T00:00:00"/>
        <d v="2024-07-02T00:00:00"/>
        <d v="2024-07-03T00:00:00"/>
        <d v="2024-07-04T00:00:00"/>
        <d v="2024-07-05T00:00:00"/>
        <d v="2024-07-06T00:00:00"/>
        <d v="2024-07-08T00:00:00"/>
        <d v="2024-07-09T00:00:00"/>
        <d v="2024-07-10T00:00:00"/>
        <d v="2024-07-11T00:00:00"/>
        <d v="2024-07-12T00:00:00"/>
        <d v="2024-07-13T00:00:00"/>
        <d v="2024-07-15T00:00:00"/>
        <d v="2024-07-16T00:00:00"/>
        <d v="2024-07-17T00:00:00"/>
        <d v="2024-07-19T00:00:00"/>
        <d v="2024-07-20T00:00:00"/>
        <d v="2024-07-22T00:00:00"/>
        <d v="2024-07-23T00:00:00"/>
        <d v="2024-07-25T00:00:00"/>
        <d v="2024-07-26T00:00:00"/>
        <d v="2024-07-27T00:00:00"/>
        <d v="2024-07-28T00:00:00"/>
        <d v="2024-07-29T00:00:00"/>
        <d v="2024-07-31T00:00:00"/>
        <d v="2024-08-01T00:00:00"/>
        <d v="2024-08-04T00:00:00"/>
        <d v="2024-08-05T00:00:00"/>
        <d v="2024-08-06T00:00:00"/>
        <d v="2024-08-07T00:00:00"/>
        <d v="2024-08-08T00:00:00"/>
        <d v="2024-08-09T00:00:00"/>
        <d v="2024-08-10T00:00:00"/>
        <d v="2024-08-11T00:00:00"/>
        <d v="2024-08-12T00:00:00"/>
        <d v="2024-08-13T00:00:00"/>
        <d v="2024-08-15T00:00:00"/>
        <d v="2024-08-16T00:00:00"/>
        <d v="2024-08-17T00:00:00"/>
        <d v="2024-08-18T00:00:00"/>
        <d v="2024-08-19T00:00:00"/>
        <d v="2024-08-20T00:00:00"/>
        <d v="2024-08-21T00:00:00"/>
        <d v="2024-08-23T00:00:00"/>
        <d v="2024-08-24T00:00:00"/>
        <d v="2024-08-25T00:00:00"/>
        <d v="2024-08-26T00:00:00"/>
        <d v="2024-08-27T00:00:00"/>
        <d v="2024-08-28T00:00:00"/>
        <d v="2024-08-29T00:00:00"/>
        <d v="2024-08-31T00:00:00"/>
        <d v="2024-09-01T00:00:00"/>
        <d v="2024-09-02T00:00:00"/>
        <d v="2024-09-03T00:00:00"/>
        <d v="2024-09-04T00:00:00"/>
        <d v="2024-09-05T00:00:00"/>
        <d v="2024-09-06T00:00:00"/>
        <d v="2024-09-07T00:00:00"/>
        <d v="2024-09-08T00:00:00"/>
        <d v="2024-09-09T00:00:00"/>
        <d v="2024-09-12T00:00:00"/>
        <d v="2024-09-13T00:00:00"/>
        <d v="2024-09-15T00:00:00"/>
        <d v="2024-09-16T00:00:00"/>
        <d v="2024-09-17T00:00:00"/>
        <d v="2024-09-18T00:00:00"/>
        <d v="2024-09-19T00:00:00"/>
        <d v="2024-09-21T00:00:00"/>
        <d v="2024-09-22T00:00:00"/>
        <d v="2024-09-23T00:00:00"/>
        <d v="2024-09-24T00:00:00"/>
        <d v="2024-09-27T00:00:00"/>
        <d v="2024-09-28T00:00:00"/>
        <d v="2024-09-29T00:00:00"/>
        <d v="2024-10-01T00:00:00"/>
        <d v="2024-10-02T00:00:00"/>
        <d v="2024-10-03T00:00:00"/>
        <d v="2024-10-04T00:00:00"/>
        <d v="2024-10-05T00:00:00"/>
        <d v="2024-10-06T00:00:00"/>
        <d v="2024-10-07T00:00:00"/>
        <d v="2024-10-08T00:00:00"/>
        <d v="2024-10-09T00:00:00"/>
        <d v="2024-10-10T00:00:00"/>
        <d v="2024-10-12T00:00:00"/>
        <d v="2024-10-13T00:00:00"/>
        <d v="2024-10-14T00:00:00"/>
        <d v="2024-10-16T00:00:00"/>
        <d v="2024-10-17T00:00:00"/>
        <d v="2024-10-18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4T00:00:00"/>
        <d v="2024-11-05T00:00:00"/>
        <d v="2024-11-07T00:00:00"/>
        <d v="2024-11-08T00:00:00"/>
        <d v="2024-11-09T00:00:00"/>
        <d v="2024-11-10T00:00:00"/>
        <d v="2024-11-12T00:00:00"/>
        <d v="2024-11-14T00:00:00"/>
        <d v="2024-11-15T00:00:00"/>
        <d v="2024-11-16T00:00:00"/>
        <d v="2024-11-17T00:00:00"/>
        <d v="2024-11-19T00:00:00"/>
        <d v="2024-11-20T00:00:00"/>
        <d v="2024-11-21T00:00:00"/>
        <d v="2024-11-23T00:00:00"/>
        <d v="2024-11-24T00:00:00"/>
        <d v="2024-11-25T00:00:00"/>
        <d v="2024-11-27T00:00:00"/>
        <d v="2024-11-28T00:00:00"/>
        <d v="2024-11-30T00:00:00"/>
        <d v="2024-12-01T00:00:00"/>
        <d v="2024-12-02T00:00:00"/>
        <d v="2024-12-03T00:00:00"/>
        <d v="2024-12-04T00:00:00"/>
        <d v="2024-12-05T00:00:00"/>
        <d v="2024-12-07T00:00:00"/>
        <d v="2024-12-08T00:00:00"/>
        <d v="2024-12-09T00:00:00"/>
        <d v="2024-12-10T00:00:00"/>
        <d v="2024-12-11T00:00:00"/>
        <d v="2024-12-12T00:00:00"/>
        <d v="2024-12-13T00:00:00"/>
        <d v="2024-12-14T00:00:00"/>
        <d v="2024-12-15T00:00:00"/>
        <d v="2024-12-16T00:00:00"/>
        <d v="2024-12-18T00:00:00"/>
        <d v="2024-12-19T00:00:00"/>
        <d v="2024-12-20T00:00:00"/>
        <d v="2024-12-21T00:00:00"/>
        <d v="2024-12-22T00:00:00"/>
        <d v="2024-12-23T00:00:00"/>
        <d v="2024-12-24T00:00:00"/>
        <d v="2024-12-26T00:00:00"/>
        <d v="2024-12-27T00:00:00"/>
        <d v="2024-12-28T00:00:00"/>
        <d v="2024-12-29T00:00:00"/>
        <d v="2024-12-30T00:00:00"/>
        <d v="2024-12-31T00:00:00"/>
        <d v="2025-01-01T00:00:00"/>
        <d v="2025-01-02T00:00:00"/>
        <d v="2025-01-03T00:00:00"/>
        <d v="2025-01-04T00:00:00"/>
        <d v="2025-01-06T00:00:00"/>
        <d v="2025-01-07T00:00:00"/>
        <d v="2025-01-08T00:00:00"/>
        <d v="2025-01-09T00:00:00"/>
        <d v="2025-01-10T00:00:00"/>
        <d v="2025-01-11T00:00:00"/>
        <d v="2025-01-12T00:00:00"/>
        <d v="2025-01-13T00:00:00"/>
        <d v="2025-01-14T00:00:00"/>
        <d v="2025-01-15T00:00:00"/>
        <d v="2025-01-16T00:00:00"/>
        <d v="2025-01-17T00:00:00"/>
        <d v="2025-01-20T00:00:00"/>
        <d v="2025-01-21T00:00:00"/>
        <d v="2025-01-22T00:00:00"/>
        <d v="2025-01-23T00:00:00"/>
        <d v="2025-01-24T00:00:00"/>
        <d v="2025-01-25T00:00:00"/>
        <d v="2025-01-26T00:00:00"/>
        <d v="2025-01-27T00:00:00"/>
        <d v="2025-01-28T00:00:00"/>
        <d v="2025-01-29T00:00:00"/>
        <d v="2025-01-30T00:00:00"/>
        <d v="2025-01-31T00:00:00"/>
        <d v="2025-02-01T00:00:00"/>
        <d v="2025-02-03T00:00:00"/>
        <d v="2025-02-04T00:00:00"/>
        <d v="2025-02-05T00:00:00"/>
        <d v="2025-02-06T00:00:00"/>
        <d v="2025-02-07T00:00:00"/>
        <d v="2025-02-08T00:00:00"/>
        <d v="2025-02-09T00:00:00"/>
        <d v="2025-02-10T00:00:00"/>
        <d v="2025-02-13T00:00:00"/>
        <d v="2025-02-14T00:00:00"/>
        <d v="2025-02-15T00:00:00"/>
        <d v="2025-02-17T00:00:00"/>
        <d v="2025-02-18T00:00:00"/>
        <d v="2025-02-19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3T00:00:00"/>
        <d v="2025-03-15T00:00:00"/>
        <d v="2025-03-16T00:00:00"/>
        <d v="2025-03-17T00:00:00"/>
        <d v="2025-03-19T00:00:00"/>
        <d v="2025-03-20T00:00:00"/>
        <d v="2025-03-21T00:00:00"/>
        <d v="2025-03-23T00:00:00"/>
        <d v="2025-03-24T00:00:00"/>
        <d v="2025-03-25T00:00:00"/>
        <d v="2025-03-27T00:00:00"/>
        <d v="2025-03-28T00:00:00"/>
        <d v="2025-03-31T00:00:00"/>
        <d v="2025-04-01T00:00:00"/>
        <d v="2025-04-03T00:00:00"/>
        <d v="2025-04-04T00:00:00"/>
        <d v="2025-04-05T00:00:00"/>
        <d v="2025-04-06T00:00:00"/>
        <d v="2025-04-07T00:00:00"/>
        <d v="2025-04-08T00:00:00"/>
        <d v="2025-04-09T00:00:00"/>
        <d v="2025-04-10T00:00:00"/>
        <d v="2025-04-11T00:00:00"/>
        <d v="2025-04-12T00:00:00"/>
        <d v="2025-04-13T00:00:00"/>
        <d v="2025-04-14T00:00:00"/>
        <d v="2025-04-15T00:00:00"/>
        <d v="2025-04-17T00:00:00"/>
        <d v="2025-04-18T00:00:00"/>
        <d v="2025-04-19T00:00:00"/>
        <d v="2025-04-20T00:00:00"/>
        <d v="2025-04-23T00:00:00"/>
        <d v="2025-04-25T00:00:00"/>
        <d v="2025-04-27T00:00:00"/>
        <d v="2025-04-28T00:00:00"/>
        <d v="2025-04-30T00:00:00"/>
        <d v="2025-05-01T00:00:00"/>
        <d v="2025-05-02T00:00:00"/>
        <d v="2025-05-03T00:00:00"/>
        <d v="2025-05-04T00:00:00"/>
        <d v="2025-05-05T00:00:00"/>
        <d v="2025-05-06T00:00:00"/>
        <d v="2025-05-08T00:00:00"/>
        <d v="2025-05-09T00:00:00"/>
        <d v="2025-05-10T00:00:00"/>
        <d v="2025-05-11T00:00:00"/>
        <d v="2025-05-13T00:00:00"/>
        <d v="2025-05-14T00:00:00"/>
        <d v="2025-05-15T00:00:00"/>
        <d v="2025-05-16T00:00:00"/>
        <d v="2025-05-17T00:00:00"/>
        <d v="2025-05-18T00:00:00"/>
        <d v="2025-05-20T00:00:00"/>
        <d v="2025-05-21T00:00:00"/>
        <d v="2025-05-22T00:00:00"/>
        <d v="2025-05-24T00:00:00"/>
        <d v="2025-05-25T00:00:00"/>
        <d v="2025-05-26T00:00:00"/>
        <d v="2025-05-27T00:00:00"/>
        <d v="2025-05-28T00:00:00"/>
        <d v="2025-05-29T00:00:00"/>
        <d v="2025-05-30T00:00:00"/>
        <d v="2025-05-31T00:00:00"/>
        <d v="2025-06-01T00:00:00"/>
        <d v="2025-06-04T00:00:00"/>
        <d v="2025-06-05T00:00:00"/>
        <d v="2025-06-06T00:00:00"/>
        <d v="2025-06-07T00:00:00"/>
        <d v="2025-06-10T00:00:00"/>
        <d v="2025-06-11T00:00:00"/>
        <d v="2025-06-12T00:00:00"/>
        <d v="2025-06-13T00:00:00"/>
        <d v="2025-06-14T00:00:00"/>
        <d v="2025-06-15T00:00:00"/>
        <d v="2025-06-17T00:00:00"/>
        <d v="2025-06-18T00:00:00"/>
        <d v="2025-06-20T00:00:00"/>
        <d v="2025-06-22T00:00:00"/>
        <d v="2025-06-23T00:00:00"/>
        <d v="2025-06-24T00:00:00"/>
        <d v="2025-06-25T00:00:00"/>
        <d v="2025-06-26T00:00:00"/>
        <d v="2025-06-27T00:00:00"/>
        <d v="2025-06-28T00:00:00"/>
        <d v="2025-06-29T00:00:00"/>
        <d v="2025-06-30T00:00:00"/>
        <d v="2025-07-01T00:00:00"/>
        <d v="2025-07-02T00:00:00"/>
        <d v="2025-07-03T00:00:00"/>
        <d v="2025-07-04T00:00:00"/>
        <d v="2025-07-05T00:00:00"/>
        <d v="2025-07-06T00:00:00"/>
        <d v="2025-07-07T00:00:00"/>
        <d v="2025-07-08T00:00:00"/>
        <d v="2025-07-09T00:00:00"/>
        <d v="2025-07-11T00:00:00"/>
        <d v="2025-07-12T00:00:00"/>
        <d v="2025-07-13T00:00:00"/>
        <d v="2025-07-14T00:00:00"/>
        <d v="2025-07-15T00:00:00"/>
        <d v="2025-07-18T00:00:00"/>
        <d v="2025-07-20T00:00:00"/>
        <d v="2025-07-21T00:00:00"/>
        <d v="2025-07-22T00:00:00"/>
        <d v="2025-07-24T00:00:00"/>
        <d v="2025-07-25T00:00:00"/>
        <d v="2025-07-26T00:00:00"/>
        <d v="2025-07-27T00:00:00"/>
        <d v="2025-07-28T00:00:00"/>
        <d v="2025-07-29T00:00:00"/>
        <d v="2025-07-30T00:00:00"/>
        <d v="2025-07-31T00:00:00"/>
        <d v="2025-08-01T00:00:00"/>
        <d v="2025-08-02T00:00:00"/>
        <d v="2025-08-03T00:00:00"/>
        <d v="2025-08-04T00:00:00"/>
        <d v="2025-08-06T00:00:00"/>
        <d v="2025-08-07T00:00:00"/>
        <d v="2025-08-10T00:00:00"/>
        <d v="2025-08-11T00:00:00"/>
        <d v="2025-08-12T00:00:00"/>
        <d v="2025-08-13T00:00:00"/>
        <d v="2025-08-14T00:00:00"/>
        <d v="2025-08-15T00:00:00"/>
        <d v="2025-08-16T00:00:00"/>
        <d v="2025-08-17T00:00:00"/>
        <d v="2025-08-18T00:00:00"/>
        <d v="2025-08-19T00:00:00"/>
        <d v="2025-08-22T00:00:00"/>
        <d v="2025-08-23T00:00:00"/>
        <d v="2025-08-24T00:00:00"/>
        <d v="2025-08-26T00:00:00"/>
        <d v="2025-08-27T00:00:00"/>
        <d v="2025-08-28T00:00:00"/>
        <d v="2025-08-31T00:00:00"/>
        <d v="2025-09-01T00:00:00"/>
        <d v="2025-09-02T00:00:00"/>
        <d v="2025-09-03T00:00:00"/>
        <d v="2025-09-04T00:00:00"/>
        <d v="2025-09-05T00:00:00"/>
        <d v="2025-09-06T00:00:00"/>
        <d v="2025-09-07T00:00:00"/>
        <d v="2025-09-09T00:00:00"/>
        <d v="2025-09-10T00:00:00"/>
        <d v="2025-09-12T00:00:00"/>
        <d v="2025-09-13T00:00:00"/>
        <d v="2025-09-15T00:00:00"/>
        <d v="2025-09-16T00:00:00"/>
        <d v="2025-09-18T00:00:00"/>
        <d v="2025-09-19T00:00:00"/>
        <d v="2025-09-20T00:00:00"/>
        <d v="2025-09-21T00:00:00"/>
        <d v="2025-09-25T00:00:00"/>
        <d v="2025-09-26T00:00:00"/>
        <d v="2025-09-27T00:00:00"/>
        <d v="2025-09-28T00:00:00"/>
        <d v="2025-09-29T00:00:00"/>
        <d v="2025-09-30T00:00:00"/>
        <d v="2025-10-01T00:00:00"/>
        <d v="2025-10-02T00:00:00"/>
        <d v="2025-10-03T00:00:00"/>
        <d v="2025-10-05T00:00:00"/>
        <d v="2025-10-06T00:00:00"/>
        <d v="2025-10-07T00:00:00"/>
        <d v="2025-10-08T00:00:00"/>
        <d v="2025-10-10T00:00:00"/>
        <d v="2025-10-11T00:00:00"/>
        <d v="2025-10-14T00:00:00"/>
        <d v="2025-10-15T00:00:00"/>
        <d v="2025-10-20T00:00:00"/>
        <d v="2025-10-21T00:00:00"/>
        <d v="2025-10-22T00:00:00"/>
        <d v="2025-10-24T00:00:00"/>
        <d v="2025-10-26T00:00:00"/>
        <d v="2025-10-27T00:00:00"/>
        <d v="2025-10-28T00:00:00"/>
        <d v="2025-10-29T00:00:00"/>
        <d v="2025-10-30T00:00:00"/>
        <d v="2025-10-31T00:00:00"/>
        <d v="2025-11-01T00:00:00"/>
        <d v="2025-11-02T00:00:00"/>
        <d v="2025-11-03T00:00:00"/>
        <d v="2025-11-05T00:00:00"/>
        <d v="2025-11-06T00:00:00"/>
        <d v="2025-11-07T00:00:00"/>
        <d v="2025-11-08T00:00:00"/>
        <d v="2025-11-09T00:00:00"/>
        <d v="2025-11-10T00:00:00"/>
        <d v="2025-11-11T00:00:00"/>
        <d v="2025-11-13T00:00:00"/>
        <d v="2025-11-14T00:00:00"/>
        <d v="2025-11-15T00:00:00"/>
        <d v="2025-11-17T00:00:00"/>
        <d v="2025-11-20T00:00:00"/>
        <d v="2025-11-21T00:00:00"/>
        <d v="2025-11-22T00:00:00"/>
        <d v="2025-11-23T00:00:00"/>
        <d v="2025-11-24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4T00:00:00"/>
        <d v="2025-12-15T00:00:00"/>
        <d v="2025-12-16T00:00:00"/>
        <d v="2025-12-17T00:00:00"/>
        <d v="2025-12-18T00:00:00"/>
        <d v="2025-12-19T00:00:00"/>
        <d v="2025-12-20T00:00:00"/>
        <d v="2025-12-21T00:00:00"/>
        <d v="2025-12-22T00:00:00"/>
        <d v="2025-12-23T00:00:00"/>
        <d v="2025-12-24T00:00:00"/>
        <d v="2025-12-25T00:00:00"/>
        <d v="2025-12-26T00:00:00"/>
        <d v="2025-12-28T00:00:00"/>
        <d v="2025-12-29T00:00:00"/>
        <d v="2025-12-30T00:00:00"/>
      </sharedItems>
      <fieldGroup par="12"/>
    </cacheField>
    <cacheField name="Account" numFmtId="0">
      <sharedItems count="3">
        <s v="Checking"/>
        <s v="Credit Card"/>
        <s v="Savings"/>
      </sharedItems>
    </cacheField>
    <cacheField name="Type" numFmtId="0">
      <sharedItems count="2">
        <s v="Income"/>
        <s v="Expense"/>
      </sharedItems>
    </cacheField>
    <cacheField name="Category" numFmtId="0">
      <sharedItems count="8">
        <s v="Salary"/>
        <s v="Rent"/>
        <s v="Dining"/>
        <s v="Groceries"/>
        <s v="Entertainment"/>
        <s v="Utilities"/>
        <s v="Transport"/>
        <s v="Freelance"/>
      </sharedItems>
    </cacheField>
    <cacheField name="Description / Merchant" numFmtId="0">
      <sharedItems count="44">
        <s v="Employer Direct Deposit"/>
        <s v="Apartment Complex"/>
        <s v="Sushi Palace"/>
        <s v="Walmart Grocery"/>
        <s v="McDonald's"/>
        <s v="Olive Garden"/>
        <s v="Netflix"/>
        <s v="Cell Phone Bill"/>
        <s v="Uber"/>
        <s v="Gas Company"/>
        <s v="Trader Joe's"/>
        <s v="Uber Eats"/>
        <s v="EZ Pass Toll"/>
        <s v="Whole Foods"/>
        <s v="BP Gas"/>
        <s v="Concert Tickets"/>
        <s v="Shell Gas"/>
        <s v="Costco"/>
        <s v="Panera Bread"/>
        <s v="Kroger"/>
        <s v="Metro Transit"/>
        <s v="Chipotle"/>
        <s v="AMC Theaters"/>
        <s v="Lyft"/>
        <s v="Property Management LLC"/>
        <s v="DoorDash"/>
        <s v="Electric Company"/>
        <s v="Parking Garage"/>
        <s v="Upwork Transfer"/>
        <s v="Safeway"/>
        <s v="Aldi"/>
        <s v="Local Bistro"/>
        <s v="Fiverr Earnings"/>
        <s v="Starbucks"/>
        <s v="Water Utility"/>
        <s v="Kindle Store"/>
        <s v="Bowling Alley"/>
        <s v="Steam Games"/>
        <s v="Spotify"/>
        <s v="Landlord Payment"/>
        <s v="Company Payroll"/>
        <s v="Internet Provider"/>
        <s v="Client Payment"/>
        <s v="Consulting Fee"/>
      </sharedItems>
    </cacheField>
    <cacheField name="Amount" numFmtId="165">
      <sharedItems containsSemiMixedTypes="0" containsString="0" containsNumber="1" minValue="5.03" maxValue="5484.04"/>
    </cacheField>
    <cacheField name="Payment Method" numFmtId="0">
      <sharedItems count="7">
        <s v="Direct Deposit"/>
        <s v="Auto-Pay"/>
        <s v="Cash"/>
        <s v="Credit"/>
        <s v="Debit"/>
        <s v="Transfer"/>
        <s v="Check"/>
      </sharedItems>
    </cacheField>
    <cacheField name="Is Recurring" numFmtId="0">
      <sharedItems/>
    </cacheField>
    <cacheField name="Running Balance" numFmtId="165">
      <sharedItems containsSemiMixedTypes="0" containsString="0" containsNumber="1" minValue="5633.64" maxValue="121666.11"/>
    </cacheField>
    <cacheField name="Months (Date)" numFmtId="0" databaseField="0">
      <fieldGroup base="1">
        <rangePr groupBy="months" startDate="2024-01-01T00:00:00" endDate="2025-12-31T00:00:00"/>
        <groupItems count="14">
          <s v="&lt;01-01-2024"/>
          <s v="Jan"/>
          <s v="Feb"/>
          <s v="Mar"/>
          <s v="Apr"/>
          <s v="May"/>
          <s v="Jun"/>
          <s v="Jul"/>
          <s v="Aug"/>
          <s v="Sep"/>
          <s v="Oct"/>
          <s v="Nov"/>
          <s v="Dec"/>
          <s v="&gt;31-12-2025"/>
        </groupItems>
      </fieldGroup>
    </cacheField>
    <cacheField name="Quarters (Date)" numFmtId="0" databaseField="0">
      <fieldGroup base="1">
        <rangePr groupBy="quarters" startDate="2024-01-01T00:00:00" endDate="2025-12-31T00:00:00"/>
        <groupItems count="6">
          <s v="&lt;01-01-2024"/>
          <s v="Qtr1"/>
          <s v="Qtr2"/>
          <s v="Qtr3"/>
          <s v="Qtr4"/>
          <s v="&gt;31-12-2025"/>
        </groupItems>
      </fieldGroup>
    </cacheField>
    <cacheField name="Years (Date)" numFmtId="0" databaseField="0">
      <fieldGroup base="1">
        <rangePr groupBy="years" startDate="2024-01-01T00:00:00" endDate="2025-12-31T00:00:00"/>
        <groupItems count="4">
          <s v="&lt;01-01-2024"/>
          <s v="2024"/>
          <s v="2025"/>
          <s v="&gt;31-12-2025"/>
        </groupItems>
      </fieldGroup>
    </cacheField>
  </cacheFields>
  <extLst>
    <ext xmlns:x14="http://schemas.microsoft.com/office/spreadsheetml/2009/9/main" uri="{725AE2AE-9491-48be-B2B4-4EB974FC3084}">
      <x14:pivotCacheDefinition pivotCacheId="21264310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TXN-20001"/>
    <x v="0"/>
    <x v="0"/>
    <x v="0"/>
    <x v="0"/>
    <x v="0"/>
    <n v="4039.07"/>
    <x v="0"/>
    <s v="Yes"/>
    <n v="9039.07"/>
  </r>
  <r>
    <s v="TXN-20002"/>
    <x v="0"/>
    <x v="0"/>
    <x v="1"/>
    <x v="1"/>
    <x v="1"/>
    <n v="1908.59"/>
    <x v="1"/>
    <s v="Yes"/>
    <n v="7130.48"/>
  </r>
  <r>
    <s v="TXN-20003"/>
    <x v="0"/>
    <x v="0"/>
    <x v="1"/>
    <x v="2"/>
    <x v="2"/>
    <n v="16.43"/>
    <x v="2"/>
    <s v="No"/>
    <n v="7114.05"/>
  </r>
  <r>
    <s v="TXN-20004"/>
    <x v="1"/>
    <x v="0"/>
    <x v="1"/>
    <x v="3"/>
    <x v="3"/>
    <n v="176.78"/>
    <x v="3"/>
    <s v="No"/>
    <n v="6937.27"/>
  </r>
  <r>
    <s v="TXN-20005"/>
    <x v="2"/>
    <x v="0"/>
    <x v="1"/>
    <x v="2"/>
    <x v="4"/>
    <n v="35.99"/>
    <x v="3"/>
    <s v="No"/>
    <n v="6901.28"/>
  </r>
  <r>
    <s v="TXN-20006"/>
    <x v="3"/>
    <x v="0"/>
    <x v="1"/>
    <x v="3"/>
    <x v="3"/>
    <n v="16.920000000000002"/>
    <x v="4"/>
    <s v="No"/>
    <n v="6884.36"/>
  </r>
  <r>
    <s v="TXN-20007"/>
    <x v="3"/>
    <x v="1"/>
    <x v="1"/>
    <x v="2"/>
    <x v="5"/>
    <n v="58.45"/>
    <x v="3"/>
    <s v="No"/>
    <n v="6825.91"/>
  </r>
  <r>
    <s v="TXN-20008"/>
    <x v="3"/>
    <x v="1"/>
    <x v="1"/>
    <x v="4"/>
    <x v="6"/>
    <n v="64.040000000000006"/>
    <x v="4"/>
    <s v="No"/>
    <n v="6761.87"/>
  </r>
  <r>
    <s v="TXN-20009"/>
    <x v="4"/>
    <x v="1"/>
    <x v="1"/>
    <x v="2"/>
    <x v="5"/>
    <n v="65.92"/>
    <x v="3"/>
    <s v="No"/>
    <n v="6695.95"/>
  </r>
  <r>
    <s v="TXN-20010"/>
    <x v="5"/>
    <x v="0"/>
    <x v="1"/>
    <x v="5"/>
    <x v="7"/>
    <n v="134.22999999999999"/>
    <x v="1"/>
    <s v="Yes"/>
    <n v="6561.72"/>
  </r>
  <r>
    <s v="TXN-20011"/>
    <x v="5"/>
    <x v="1"/>
    <x v="1"/>
    <x v="2"/>
    <x v="4"/>
    <n v="83.07"/>
    <x v="2"/>
    <s v="No"/>
    <n v="6478.65"/>
  </r>
  <r>
    <s v="TXN-20012"/>
    <x v="5"/>
    <x v="1"/>
    <x v="1"/>
    <x v="6"/>
    <x v="8"/>
    <n v="40.6"/>
    <x v="4"/>
    <s v="No"/>
    <n v="6438.05"/>
  </r>
  <r>
    <s v="TXN-20013"/>
    <x v="6"/>
    <x v="1"/>
    <x v="1"/>
    <x v="5"/>
    <x v="9"/>
    <n v="177.29"/>
    <x v="1"/>
    <s v="Yes"/>
    <n v="6260.76"/>
  </r>
  <r>
    <s v="TXN-20014"/>
    <x v="6"/>
    <x v="1"/>
    <x v="1"/>
    <x v="3"/>
    <x v="10"/>
    <n v="175.53"/>
    <x v="3"/>
    <s v="No"/>
    <n v="6085.23"/>
  </r>
  <r>
    <s v="TXN-20015"/>
    <x v="7"/>
    <x v="0"/>
    <x v="1"/>
    <x v="2"/>
    <x v="11"/>
    <n v="84.46"/>
    <x v="2"/>
    <s v="No"/>
    <n v="6000.77"/>
  </r>
  <r>
    <s v="TXN-20016"/>
    <x v="7"/>
    <x v="0"/>
    <x v="1"/>
    <x v="6"/>
    <x v="12"/>
    <n v="58.59"/>
    <x v="4"/>
    <s v="No"/>
    <n v="5942.18"/>
  </r>
  <r>
    <s v="TXN-20017"/>
    <x v="8"/>
    <x v="1"/>
    <x v="1"/>
    <x v="3"/>
    <x v="13"/>
    <n v="178.74"/>
    <x v="4"/>
    <s v="No"/>
    <n v="5763.44"/>
  </r>
  <r>
    <s v="TXN-20018"/>
    <x v="8"/>
    <x v="0"/>
    <x v="1"/>
    <x v="6"/>
    <x v="14"/>
    <n v="45.57"/>
    <x v="2"/>
    <s v="No"/>
    <n v="5717.87"/>
  </r>
  <r>
    <s v="TXN-20019"/>
    <x v="9"/>
    <x v="1"/>
    <x v="1"/>
    <x v="6"/>
    <x v="8"/>
    <n v="36.92"/>
    <x v="4"/>
    <s v="No"/>
    <n v="5680.95"/>
  </r>
  <r>
    <s v="TXN-20020"/>
    <x v="10"/>
    <x v="1"/>
    <x v="1"/>
    <x v="2"/>
    <x v="5"/>
    <n v="18.190000000000001"/>
    <x v="2"/>
    <s v="No"/>
    <n v="5662.76"/>
  </r>
  <r>
    <s v="TXN-20021"/>
    <x v="11"/>
    <x v="0"/>
    <x v="1"/>
    <x v="4"/>
    <x v="15"/>
    <n v="29.12"/>
    <x v="4"/>
    <s v="No"/>
    <n v="5633.64"/>
  </r>
  <r>
    <s v="TXN-20022"/>
    <x v="12"/>
    <x v="0"/>
    <x v="0"/>
    <x v="0"/>
    <x v="0"/>
    <n v="4854.8999999999996"/>
    <x v="0"/>
    <s v="Yes"/>
    <n v="10488.54"/>
  </r>
  <r>
    <s v="TXN-20023"/>
    <x v="12"/>
    <x v="0"/>
    <x v="1"/>
    <x v="2"/>
    <x v="4"/>
    <n v="33.94"/>
    <x v="3"/>
    <s v="No"/>
    <n v="10454.6"/>
  </r>
  <r>
    <s v="TXN-20024"/>
    <x v="13"/>
    <x v="0"/>
    <x v="1"/>
    <x v="3"/>
    <x v="3"/>
    <n v="179.51"/>
    <x v="3"/>
    <s v="No"/>
    <n v="10275.09"/>
  </r>
  <r>
    <s v="TXN-20025"/>
    <x v="13"/>
    <x v="0"/>
    <x v="1"/>
    <x v="6"/>
    <x v="16"/>
    <n v="11.88"/>
    <x v="4"/>
    <s v="No"/>
    <n v="10263.209999999999"/>
  </r>
  <r>
    <s v="TXN-20026"/>
    <x v="14"/>
    <x v="1"/>
    <x v="1"/>
    <x v="2"/>
    <x v="5"/>
    <n v="80.02"/>
    <x v="2"/>
    <s v="No"/>
    <n v="10183.19"/>
  </r>
  <r>
    <s v="TXN-20027"/>
    <x v="15"/>
    <x v="0"/>
    <x v="1"/>
    <x v="6"/>
    <x v="14"/>
    <n v="51.15"/>
    <x v="3"/>
    <s v="No"/>
    <n v="10132.040000000001"/>
  </r>
  <r>
    <s v="TXN-20028"/>
    <x v="16"/>
    <x v="0"/>
    <x v="1"/>
    <x v="6"/>
    <x v="12"/>
    <n v="34.47"/>
    <x v="4"/>
    <s v="No"/>
    <n v="10097.57"/>
  </r>
  <r>
    <s v="TXN-20029"/>
    <x v="17"/>
    <x v="1"/>
    <x v="1"/>
    <x v="3"/>
    <x v="17"/>
    <n v="108.4"/>
    <x v="3"/>
    <s v="No"/>
    <n v="9989.17"/>
  </r>
  <r>
    <s v="TXN-20030"/>
    <x v="18"/>
    <x v="1"/>
    <x v="1"/>
    <x v="2"/>
    <x v="18"/>
    <n v="68.97"/>
    <x v="3"/>
    <s v="No"/>
    <n v="9920.2000000000007"/>
  </r>
  <r>
    <s v="TXN-20031"/>
    <x v="18"/>
    <x v="0"/>
    <x v="1"/>
    <x v="4"/>
    <x v="15"/>
    <n v="57.1"/>
    <x v="4"/>
    <s v="No"/>
    <n v="9863.1"/>
  </r>
  <r>
    <s v="TXN-20032"/>
    <x v="19"/>
    <x v="0"/>
    <x v="1"/>
    <x v="3"/>
    <x v="19"/>
    <n v="33.840000000000003"/>
    <x v="4"/>
    <s v="No"/>
    <n v="9829.26"/>
  </r>
  <r>
    <s v="TXN-20033"/>
    <x v="20"/>
    <x v="0"/>
    <x v="1"/>
    <x v="2"/>
    <x v="18"/>
    <n v="9.59"/>
    <x v="4"/>
    <s v="No"/>
    <n v="9819.67"/>
  </r>
  <r>
    <s v="TXN-20034"/>
    <x v="20"/>
    <x v="1"/>
    <x v="1"/>
    <x v="6"/>
    <x v="20"/>
    <n v="22.64"/>
    <x v="4"/>
    <s v="No"/>
    <n v="9797.0300000000007"/>
  </r>
  <r>
    <s v="TXN-20035"/>
    <x v="21"/>
    <x v="1"/>
    <x v="1"/>
    <x v="3"/>
    <x v="13"/>
    <n v="151"/>
    <x v="3"/>
    <s v="No"/>
    <n v="9646.0300000000007"/>
  </r>
  <r>
    <s v="TXN-20036"/>
    <x v="21"/>
    <x v="0"/>
    <x v="1"/>
    <x v="2"/>
    <x v="5"/>
    <n v="66.37"/>
    <x v="2"/>
    <s v="No"/>
    <n v="9579.66"/>
  </r>
  <r>
    <s v="TXN-20037"/>
    <x v="22"/>
    <x v="0"/>
    <x v="1"/>
    <x v="6"/>
    <x v="20"/>
    <n v="45.25"/>
    <x v="3"/>
    <s v="No"/>
    <n v="9534.41"/>
  </r>
  <r>
    <s v="TXN-20038"/>
    <x v="23"/>
    <x v="1"/>
    <x v="1"/>
    <x v="2"/>
    <x v="21"/>
    <n v="85"/>
    <x v="4"/>
    <s v="No"/>
    <n v="9449.41"/>
  </r>
  <r>
    <s v="TXN-20039"/>
    <x v="23"/>
    <x v="1"/>
    <x v="1"/>
    <x v="4"/>
    <x v="22"/>
    <n v="40.729999999999997"/>
    <x v="3"/>
    <s v="No"/>
    <n v="9408.68"/>
  </r>
  <r>
    <s v="TXN-20040"/>
    <x v="24"/>
    <x v="1"/>
    <x v="1"/>
    <x v="6"/>
    <x v="23"/>
    <n v="39.04"/>
    <x v="2"/>
    <s v="No"/>
    <n v="9369.64"/>
  </r>
  <r>
    <s v="TXN-20041"/>
    <x v="25"/>
    <x v="0"/>
    <x v="1"/>
    <x v="2"/>
    <x v="5"/>
    <n v="39.03"/>
    <x v="3"/>
    <s v="No"/>
    <n v="9330.61"/>
  </r>
  <r>
    <s v="TXN-20042"/>
    <x v="26"/>
    <x v="0"/>
    <x v="1"/>
    <x v="6"/>
    <x v="14"/>
    <n v="31.67"/>
    <x v="2"/>
    <s v="No"/>
    <n v="9298.94"/>
  </r>
  <r>
    <s v="TXN-20043"/>
    <x v="27"/>
    <x v="0"/>
    <x v="0"/>
    <x v="0"/>
    <x v="0"/>
    <n v="4340.54"/>
    <x v="0"/>
    <s v="Yes"/>
    <n v="13639.48"/>
  </r>
  <r>
    <s v="TXN-20044"/>
    <x v="27"/>
    <x v="0"/>
    <x v="1"/>
    <x v="1"/>
    <x v="24"/>
    <n v="1394.28"/>
    <x v="1"/>
    <s v="Yes"/>
    <n v="12245.2"/>
  </r>
  <r>
    <s v="TXN-20045"/>
    <x v="28"/>
    <x v="1"/>
    <x v="1"/>
    <x v="2"/>
    <x v="25"/>
    <n v="52.21"/>
    <x v="2"/>
    <s v="No"/>
    <n v="12192.99"/>
  </r>
  <r>
    <s v="TXN-20046"/>
    <x v="29"/>
    <x v="0"/>
    <x v="1"/>
    <x v="2"/>
    <x v="11"/>
    <n v="79.680000000000007"/>
    <x v="4"/>
    <s v="No"/>
    <n v="12113.31"/>
  </r>
  <r>
    <s v="TXN-20047"/>
    <x v="29"/>
    <x v="1"/>
    <x v="1"/>
    <x v="6"/>
    <x v="16"/>
    <n v="41.71"/>
    <x v="3"/>
    <s v="No"/>
    <n v="12071.6"/>
  </r>
  <r>
    <s v="TXN-20048"/>
    <x v="30"/>
    <x v="1"/>
    <x v="1"/>
    <x v="2"/>
    <x v="21"/>
    <n v="20.91"/>
    <x v="3"/>
    <s v="No"/>
    <n v="12050.69"/>
  </r>
  <r>
    <s v="TXN-20049"/>
    <x v="31"/>
    <x v="1"/>
    <x v="1"/>
    <x v="5"/>
    <x v="26"/>
    <n v="62.05"/>
    <x v="1"/>
    <s v="Yes"/>
    <n v="11988.64"/>
  </r>
  <r>
    <s v="TXN-20050"/>
    <x v="32"/>
    <x v="0"/>
    <x v="1"/>
    <x v="5"/>
    <x v="7"/>
    <n v="163.56"/>
    <x v="1"/>
    <s v="Yes"/>
    <n v="11825.08"/>
  </r>
  <r>
    <s v="TXN-20051"/>
    <x v="32"/>
    <x v="1"/>
    <x v="1"/>
    <x v="6"/>
    <x v="27"/>
    <n v="55.59"/>
    <x v="2"/>
    <s v="No"/>
    <n v="11769.49"/>
  </r>
  <r>
    <s v="TXN-20052"/>
    <x v="33"/>
    <x v="0"/>
    <x v="0"/>
    <x v="7"/>
    <x v="28"/>
    <n v="927.15"/>
    <x v="5"/>
    <s v="No"/>
    <n v="12696.64"/>
  </r>
  <r>
    <s v="TXN-20053"/>
    <x v="33"/>
    <x v="1"/>
    <x v="1"/>
    <x v="5"/>
    <x v="7"/>
    <n v="158.62"/>
    <x v="1"/>
    <s v="Yes"/>
    <n v="12538.02"/>
  </r>
  <r>
    <s v="TXN-20054"/>
    <x v="34"/>
    <x v="0"/>
    <x v="1"/>
    <x v="3"/>
    <x v="3"/>
    <n v="178.33"/>
    <x v="4"/>
    <s v="No"/>
    <n v="12359.69"/>
  </r>
  <r>
    <s v="TXN-20055"/>
    <x v="35"/>
    <x v="0"/>
    <x v="1"/>
    <x v="3"/>
    <x v="29"/>
    <n v="93.21"/>
    <x v="3"/>
    <s v="No"/>
    <n v="12266.48"/>
  </r>
  <r>
    <s v="TXN-20056"/>
    <x v="35"/>
    <x v="0"/>
    <x v="1"/>
    <x v="6"/>
    <x v="14"/>
    <n v="28.82"/>
    <x v="2"/>
    <s v="No"/>
    <n v="12237.66"/>
  </r>
  <r>
    <s v="TXN-20057"/>
    <x v="36"/>
    <x v="0"/>
    <x v="1"/>
    <x v="3"/>
    <x v="30"/>
    <n v="48.96"/>
    <x v="3"/>
    <s v="No"/>
    <n v="12188.7"/>
  </r>
  <r>
    <s v="TXN-20058"/>
    <x v="36"/>
    <x v="0"/>
    <x v="1"/>
    <x v="2"/>
    <x v="21"/>
    <n v="11.16"/>
    <x v="3"/>
    <s v="No"/>
    <n v="12177.54"/>
  </r>
  <r>
    <s v="TXN-20059"/>
    <x v="37"/>
    <x v="0"/>
    <x v="0"/>
    <x v="0"/>
    <x v="0"/>
    <n v="4671.47"/>
    <x v="0"/>
    <s v="Yes"/>
    <n v="16849.009999999998"/>
  </r>
  <r>
    <s v="TXN-20060"/>
    <x v="37"/>
    <x v="1"/>
    <x v="1"/>
    <x v="3"/>
    <x v="10"/>
    <n v="143.03"/>
    <x v="4"/>
    <s v="No"/>
    <n v="16705.98"/>
  </r>
  <r>
    <s v="TXN-20061"/>
    <x v="38"/>
    <x v="0"/>
    <x v="1"/>
    <x v="3"/>
    <x v="30"/>
    <n v="163.32"/>
    <x v="3"/>
    <s v="No"/>
    <n v="16542.66"/>
  </r>
  <r>
    <s v="TXN-20062"/>
    <x v="39"/>
    <x v="1"/>
    <x v="1"/>
    <x v="3"/>
    <x v="17"/>
    <n v="42.27"/>
    <x v="4"/>
    <s v="No"/>
    <n v="16500.39"/>
  </r>
  <r>
    <s v="TXN-20063"/>
    <x v="39"/>
    <x v="1"/>
    <x v="1"/>
    <x v="2"/>
    <x v="31"/>
    <n v="75.11"/>
    <x v="2"/>
    <s v="No"/>
    <n v="16425.28"/>
  </r>
  <r>
    <s v="TXN-20064"/>
    <x v="40"/>
    <x v="2"/>
    <x v="0"/>
    <x v="7"/>
    <x v="32"/>
    <n v="1257.07"/>
    <x v="5"/>
    <s v="No"/>
    <n v="17682.349999999999"/>
  </r>
  <r>
    <s v="TXN-20065"/>
    <x v="40"/>
    <x v="1"/>
    <x v="1"/>
    <x v="3"/>
    <x v="13"/>
    <n v="164.44"/>
    <x v="3"/>
    <s v="No"/>
    <n v="17517.91"/>
  </r>
  <r>
    <s v="TXN-20066"/>
    <x v="41"/>
    <x v="1"/>
    <x v="1"/>
    <x v="3"/>
    <x v="30"/>
    <n v="172.77"/>
    <x v="4"/>
    <s v="No"/>
    <n v="17345.14"/>
  </r>
  <r>
    <s v="TXN-20067"/>
    <x v="41"/>
    <x v="0"/>
    <x v="1"/>
    <x v="6"/>
    <x v="27"/>
    <n v="9.76"/>
    <x v="4"/>
    <s v="No"/>
    <n v="17335.38"/>
  </r>
  <r>
    <s v="TXN-20068"/>
    <x v="42"/>
    <x v="0"/>
    <x v="1"/>
    <x v="3"/>
    <x v="19"/>
    <n v="47.56"/>
    <x v="4"/>
    <s v="No"/>
    <n v="17287.82"/>
  </r>
  <r>
    <s v="TXN-20069"/>
    <x v="42"/>
    <x v="1"/>
    <x v="1"/>
    <x v="2"/>
    <x v="2"/>
    <n v="71.489999999999995"/>
    <x v="4"/>
    <s v="No"/>
    <n v="17216.330000000002"/>
  </r>
  <r>
    <s v="TXN-20070"/>
    <x v="43"/>
    <x v="0"/>
    <x v="1"/>
    <x v="3"/>
    <x v="17"/>
    <n v="142.13"/>
    <x v="4"/>
    <s v="No"/>
    <n v="17074.2"/>
  </r>
  <r>
    <s v="TXN-20071"/>
    <x v="43"/>
    <x v="0"/>
    <x v="1"/>
    <x v="2"/>
    <x v="33"/>
    <n v="23.46"/>
    <x v="4"/>
    <s v="No"/>
    <n v="17050.740000000002"/>
  </r>
  <r>
    <s v="TXN-20072"/>
    <x v="43"/>
    <x v="0"/>
    <x v="1"/>
    <x v="4"/>
    <x v="6"/>
    <n v="32.94"/>
    <x v="4"/>
    <s v="No"/>
    <n v="17017.8"/>
  </r>
  <r>
    <s v="TXN-20073"/>
    <x v="44"/>
    <x v="0"/>
    <x v="1"/>
    <x v="2"/>
    <x v="31"/>
    <n v="69.7"/>
    <x v="2"/>
    <s v="No"/>
    <n v="16948.099999999999"/>
  </r>
  <r>
    <s v="TXN-20074"/>
    <x v="45"/>
    <x v="1"/>
    <x v="1"/>
    <x v="3"/>
    <x v="30"/>
    <n v="107.26"/>
    <x v="3"/>
    <s v="No"/>
    <n v="16840.84"/>
  </r>
  <r>
    <s v="TXN-20075"/>
    <x v="45"/>
    <x v="1"/>
    <x v="1"/>
    <x v="2"/>
    <x v="31"/>
    <n v="53.55"/>
    <x v="4"/>
    <s v="No"/>
    <n v="16787.29"/>
  </r>
  <r>
    <s v="TXN-20076"/>
    <x v="46"/>
    <x v="0"/>
    <x v="1"/>
    <x v="3"/>
    <x v="13"/>
    <n v="111.13"/>
    <x v="3"/>
    <s v="No"/>
    <n v="16676.16"/>
  </r>
  <r>
    <s v="TXN-20077"/>
    <x v="47"/>
    <x v="0"/>
    <x v="1"/>
    <x v="2"/>
    <x v="4"/>
    <n v="70.27"/>
    <x v="4"/>
    <s v="No"/>
    <n v="16605.89"/>
  </r>
  <r>
    <s v="TXN-20078"/>
    <x v="47"/>
    <x v="1"/>
    <x v="1"/>
    <x v="6"/>
    <x v="16"/>
    <n v="36.67"/>
    <x v="4"/>
    <s v="No"/>
    <n v="16569.22"/>
  </r>
  <r>
    <s v="TXN-20079"/>
    <x v="48"/>
    <x v="0"/>
    <x v="0"/>
    <x v="0"/>
    <x v="0"/>
    <n v="4433.3599999999997"/>
    <x v="0"/>
    <s v="Yes"/>
    <n v="21002.58"/>
  </r>
  <r>
    <s v="TXN-20080"/>
    <x v="48"/>
    <x v="0"/>
    <x v="1"/>
    <x v="1"/>
    <x v="1"/>
    <n v="1639.19"/>
    <x v="1"/>
    <s v="Yes"/>
    <n v="19363.39"/>
  </r>
  <r>
    <s v="TXN-20081"/>
    <x v="48"/>
    <x v="0"/>
    <x v="1"/>
    <x v="6"/>
    <x v="16"/>
    <n v="10.1"/>
    <x v="3"/>
    <s v="No"/>
    <n v="19353.29"/>
  </r>
  <r>
    <s v="TXN-20082"/>
    <x v="48"/>
    <x v="1"/>
    <x v="1"/>
    <x v="4"/>
    <x v="15"/>
    <n v="56.64"/>
    <x v="3"/>
    <s v="No"/>
    <n v="19296.650000000001"/>
  </r>
  <r>
    <s v="TXN-20083"/>
    <x v="49"/>
    <x v="0"/>
    <x v="1"/>
    <x v="6"/>
    <x v="27"/>
    <n v="35.4"/>
    <x v="2"/>
    <s v="No"/>
    <n v="19261.25"/>
  </r>
  <r>
    <s v="TXN-20084"/>
    <x v="50"/>
    <x v="1"/>
    <x v="1"/>
    <x v="6"/>
    <x v="14"/>
    <n v="56.46"/>
    <x v="2"/>
    <s v="No"/>
    <n v="19204.79"/>
  </r>
  <r>
    <s v="TXN-20085"/>
    <x v="51"/>
    <x v="0"/>
    <x v="1"/>
    <x v="2"/>
    <x v="31"/>
    <n v="24.18"/>
    <x v="4"/>
    <s v="No"/>
    <n v="19180.61"/>
  </r>
  <r>
    <s v="TXN-20086"/>
    <x v="52"/>
    <x v="0"/>
    <x v="1"/>
    <x v="5"/>
    <x v="34"/>
    <n v="123.64"/>
    <x v="1"/>
    <s v="Yes"/>
    <n v="19056.97"/>
  </r>
  <r>
    <s v="TXN-20087"/>
    <x v="53"/>
    <x v="0"/>
    <x v="1"/>
    <x v="5"/>
    <x v="26"/>
    <n v="189.34"/>
    <x v="1"/>
    <s v="Yes"/>
    <n v="18867.63"/>
  </r>
  <r>
    <s v="TXN-20088"/>
    <x v="53"/>
    <x v="0"/>
    <x v="1"/>
    <x v="3"/>
    <x v="13"/>
    <n v="63.79"/>
    <x v="3"/>
    <s v="No"/>
    <n v="18803.84"/>
  </r>
  <r>
    <s v="TXN-20089"/>
    <x v="53"/>
    <x v="0"/>
    <x v="1"/>
    <x v="2"/>
    <x v="2"/>
    <n v="13.02"/>
    <x v="3"/>
    <s v="No"/>
    <n v="18790.82"/>
  </r>
  <r>
    <s v="TXN-20090"/>
    <x v="54"/>
    <x v="1"/>
    <x v="1"/>
    <x v="4"/>
    <x v="35"/>
    <n v="31.95"/>
    <x v="3"/>
    <s v="No"/>
    <n v="18758.87"/>
  </r>
  <r>
    <s v="TXN-20091"/>
    <x v="55"/>
    <x v="1"/>
    <x v="1"/>
    <x v="5"/>
    <x v="7"/>
    <n v="171.91"/>
    <x v="1"/>
    <s v="Yes"/>
    <n v="18586.96"/>
  </r>
  <r>
    <s v="TXN-20092"/>
    <x v="55"/>
    <x v="0"/>
    <x v="1"/>
    <x v="3"/>
    <x v="30"/>
    <n v="73.150000000000006"/>
    <x v="3"/>
    <s v="No"/>
    <n v="18513.810000000001"/>
  </r>
  <r>
    <s v="TXN-20093"/>
    <x v="55"/>
    <x v="0"/>
    <x v="1"/>
    <x v="2"/>
    <x v="25"/>
    <n v="69.75"/>
    <x v="4"/>
    <s v="No"/>
    <n v="18444.060000000001"/>
  </r>
  <r>
    <s v="TXN-20094"/>
    <x v="55"/>
    <x v="0"/>
    <x v="1"/>
    <x v="6"/>
    <x v="27"/>
    <n v="55.29"/>
    <x v="4"/>
    <s v="No"/>
    <n v="18388.77"/>
  </r>
  <r>
    <s v="TXN-20095"/>
    <x v="56"/>
    <x v="0"/>
    <x v="1"/>
    <x v="2"/>
    <x v="21"/>
    <n v="51.22"/>
    <x v="4"/>
    <s v="No"/>
    <n v="18337.55"/>
  </r>
  <r>
    <s v="TXN-20096"/>
    <x v="57"/>
    <x v="0"/>
    <x v="1"/>
    <x v="5"/>
    <x v="7"/>
    <n v="166.34"/>
    <x v="1"/>
    <s v="Yes"/>
    <n v="18171.21"/>
  </r>
  <r>
    <s v="TXN-20097"/>
    <x v="57"/>
    <x v="0"/>
    <x v="1"/>
    <x v="3"/>
    <x v="29"/>
    <n v="131.09"/>
    <x v="3"/>
    <s v="No"/>
    <n v="18040.12"/>
  </r>
  <r>
    <s v="TXN-20098"/>
    <x v="57"/>
    <x v="1"/>
    <x v="1"/>
    <x v="6"/>
    <x v="23"/>
    <n v="17.88"/>
    <x v="3"/>
    <s v="No"/>
    <n v="18022.240000000002"/>
  </r>
  <r>
    <s v="TXN-20099"/>
    <x v="58"/>
    <x v="0"/>
    <x v="1"/>
    <x v="2"/>
    <x v="33"/>
    <n v="29.34"/>
    <x v="3"/>
    <s v="No"/>
    <n v="17992.900000000001"/>
  </r>
  <r>
    <s v="TXN-20100"/>
    <x v="58"/>
    <x v="1"/>
    <x v="1"/>
    <x v="6"/>
    <x v="8"/>
    <n v="25.13"/>
    <x v="3"/>
    <s v="No"/>
    <n v="17967.77"/>
  </r>
  <r>
    <s v="TXN-20101"/>
    <x v="59"/>
    <x v="1"/>
    <x v="1"/>
    <x v="3"/>
    <x v="17"/>
    <n v="167.34"/>
    <x v="3"/>
    <s v="No"/>
    <n v="17800.43"/>
  </r>
  <r>
    <s v="TXN-20102"/>
    <x v="59"/>
    <x v="0"/>
    <x v="1"/>
    <x v="6"/>
    <x v="27"/>
    <n v="55.25"/>
    <x v="2"/>
    <s v="No"/>
    <n v="17745.18"/>
  </r>
  <r>
    <s v="TXN-20103"/>
    <x v="59"/>
    <x v="1"/>
    <x v="1"/>
    <x v="4"/>
    <x v="36"/>
    <n v="38.869999999999997"/>
    <x v="3"/>
    <s v="No"/>
    <n v="17706.310000000001"/>
  </r>
  <r>
    <s v="TXN-20104"/>
    <x v="60"/>
    <x v="1"/>
    <x v="1"/>
    <x v="2"/>
    <x v="25"/>
    <n v="80.58"/>
    <x v="3"/>
    <s v="No"/>
    <n v="17625.73"/>
  </r>
  <r>
    <s v="TXN-20105"/>
    <x v="60"/>
    <x v="1"/>
    <x v="1"/>
    <x v="6"/>
    <x v="20"/>
    <n v="14.52"/>
    <x v="3"/>
    <s v="No"/>
    <n v="17611.21"/>
  </r>
  <r>
    <s v="TXN-20106"/>
    <x v="61"/>
    <x v="0"/>
    <x v="1"/>
    <x v="2"/>
    <x v="4"/>
    <n v="68.31"/>
    <x v="2"/>
    <s v="No"/>
    <n v="17542.900000000001"/>
  </r>
  <r>
    <s v="TXN-20107"/>
    <x v="62"/>
    <x v="0"/>
    <x v="1"/>
    <x v="2"/>
    <x v="4"/>
    <n v="78.819999999999993"/>
    <x v="2"/>
    <s v="No"/>
    <n v="17464.080000000002"/>
  </r>
  <r>
    <s v="TXN-20108"/>
    <x v="63"/>
    <x v="1"/>
    <x v="1"/>
    <x v="6"/>
    <x v="20"/>
    <n v="15.93"/>
    <x v="4"/>
    <s v="No"/>
    <n v="17448.150000000001"/>
  </r>
  <r>
    <s v="TXN-20109"/>
    <x v="64"/>
    <x v="0"/>
    <x v="1"/>
    <x v="3"/>
    <x v="30"/>
    <n v="33.49"/>
    <x v="4"/>
    <s v="No"/>
    <n v="17414.66"/>
  </r>
  <r>
    <s v="TXN-20110"/>
    <x v="64"/>
    <x v="0"/>
    <x v="1"/>
    <x v="4"/>
    <x v="36"/>
    <n v="85.44"/>
    <x v="3"/>
    <s v="No"/>
    <n v="17329.22"/>
  </r>
  <r>
    <s v="TXN-20111"/>
    <x v="65"/>
    <x v="0"/>
    <x v="1"/>
    <x v="4"/>
    <x v="37"/>
    <n v="17.02"/>
    <x v="3"/>
    <s v="No"/>
    <n v="17312.2"/>
  </r>
  <r>
    <s v="TXN-20112"/>
    <x v="66"/>
    <x v="1"/>
    <x v="1"/>
    <x v="6"/>
    <x v="20"/>
    <n v="44.75"/>
    <x v="4"/>
    <s v="No"/>
    <n v="17267.45"/>
  </r>
  <r>
    <s v="TXN-20113"/>
    <x v="67"/>
    <x v="0"/>
    <x v="1"/>
    <x v="3"/>
    <x v="17"/>
    <n v="136.87"/>
    <x v="3"/>
    <s v="No"/>
    <n v="17130.580000000002"/>
  </r>
  <r>
    <s v="TXN-20114"/>
    <x v="68"/>
    <x v="2"/>
    <x v="0"/>
    <x v="7"/>
    <x v="32"/>
    <n v="1204.2"/>
    <x v="6"/>
    <s v="No"/>
    <n v="18334.78"/>
  </r>
  <r>
    <s v="TXN-20115"/>
    <x v="69"/>
    <x v="0"/>
    <x v="1"/>
    <x v="6"/>
    <x v="16"/>
    <n v="39.950000000000003"/>
    <x v="3"/>
    <s v="No"/>
    <n v="18294.830000000002"/>
  </r>
  <r>
    <s v="TXN-20116"/>
    <x v="69"/>
    <x v="1"/>
    <x v="1"/>
    <x v="4"/>
    <x v="38"/>
    <n v="45.98"/>
    <x v="4"/>
    <s v="No"/>
    <n v="18248.849999999999"/>
  </r>
  <r>
    <s v="TXN-20117"/>
    <x v="70"/>
    <x v="0"/>
    <x v="1"/>
    <x v="2"/>
    <x v="33"/>
    <n v="31.15"/>
    <x v="3"/>
    <s v="No"/>
    <n v="18217.7"/>
  </r>
  <r>
    <s v="TXN-20118"/>
    <x v="71"/>
    <x v="0"/>
    <x v="1"/>
    <x v="3"/>
    <x v="30"/>
    <n v="165.26"/>
    <x v="3"/>
    <s v="No"/>
    <n v="18052.439999999999"/>
  </r>
  <r>
    <s v="TXN-20119"/>
    <x v="72"/>
    <x v="0"/>
    <x v="0"/>
    <x v="0"/>
    <x v="0"/>
    <n v="4992.96"/>
    <x v="0"/>
    <s v="Yes"/>
    <n v="23045.4"/>
  </r>
  <r>
    <s v="TXN-20120"/>
    <x v="72"/>
    <x v="0"/>
    <x v="1"/>
    <x v="1"/>
    <x v="39"/>
    <n v="1314.76"/>
    <x v="1"/>
    <s v="Yes"/>
    <n v="21730.639999999999"/>
  </r>
  <r>
    <s v="TXN-20121"/>
    <x v="72"/>
    <x v="1"/>
    <x v="1"/>
    <x v="2"/>
    <x v="5"/>
    <n v="37.85"/>
    <x v="3"/>
    <s v="No"/>
    <n v="21692.79"/>
  </r>
  <r>
    <s v="TXN-20122"/>
    <x v="72"/>
    <x v="0"/>
    <x v="1"/>
    <x v="4"/>
    <x v="38"/>
    <n v="89.04"/>
    <x v="4"/>
    <s v="No"/>
    <n v="21603.75"/>
  </r>
  <r>
    <s v="TXN-20123"/>
    <x v="73"/>
    <x v="1"/>
    <x v="1"/>
    <x v="3"/>
    <x v="29"/>
    <n v="101.07"/>
    <x v="3"/>
    <s v="No"/>
    <n v="21502.68"/>
  </r>
  <r>
    <s v="TXN-20124"/>
    <x v="73"/>
    <x v="0"/>
    <x v="1"/>
    <x v="2"/>
    <x v="5"/>
    <n v="76.13"/>
    <x v="2"/>
    <s v="No"/>
    <n v="21426.55"/>
  </r>
  <r>
    <s v="TXN-20125"/>
    <x v="74"/>
    <x v="1"/>
    <x v="1"/>
    <x v="6"/>
    <x v="12"/>
    <n v="35.97"/>
    <x v="4"/>
    <s v="No"/>
    <n v="21390.58"/>
  </r>
  <r>
    <s v="TXN-20126"/>
    <x v="75"/>
    <x v="0"/>
    <x v="1"/>
    <x v="5"/>
    <x v="7"/>
    <n v="184.76"/>
    <x v="1"/>
    <s v="Yes"/>
    <n v="21205.82"/>
  </r>
  <r>
    <s v="TXN-20127"/>
    <x v="75"/>
    <x v="1"/>
    <x v="1"/>
    <x v="6"/>
    <x v="20"/>
    <n v="27.49"/>
    <x v="2"/>
    <s v="No"/>
    <n v="21178.33"/>
  </r>
  <r>
    <s v="TXN-20128"/>
    <x v="76"/>
    <x v="0"/>
    <x v="1"/>
    <x v="5"/>
    <x v="9"/>
    <n v="79.47"/>
    <x v="1"/>
    <s v="Yes"/>
    <n v="21098.86"/>
  </r>
  <r>
    <s v="TXN-20129"/>
    <x v="76"/>
    <x v="1"/>
    <x v="1"/>
    <x v="3"/>
    <x v="3"/>
    <n v="77.47"/>
    <x v="4"/>
    <s v="No"/>
    <n v="21021.39"/>
  </r>
  <r>
    <s v="TXN-20130"/>
    <x v="76"/>
    <x v="1"/>
    <x v="1"/>
    <x v="6"/>
    <x v="16"/>
    <n v="54.76"/>
    <x v="4"/>
    <s v="No"/>
    <n v="20966.63"/>
  </r>
  <r>
    <s v="TXN-20131"/>
    <x v="76"/>
    <x v="1"/>
    <x v="1"/>
    <x v="4"/>
    <x v="38"/>
    <n v="35.58"/>
    <x v="4"/>
    <s v="No"/>
    <n v="20931.05"/>
  </r>
  <r>
    <s v="TXN-20132"/>
    <x v="77"/>
    <x v="1"/>
    <x v="1"/>
    <x v="5"/>
    <x v="26"/>
    <n v="242.72"/>
    <x v="1"/>
    <s v="Yes"/>
    <n v="20688.330000000002"/>
  </r>
  <r>
    <s v="TXN-20133"/>
    <x v="77"/>
    <x v="0"/>
    <x v="1"/>
    <x v="3"/>
    <x v="3"/>
    <n v="152.11000000000001"/>
    <x v="3"/>
    <s v="No"/>
    <n v="20536.22"/>
  </r>
  <r>
    <s v="TXN-20134"/>
    <x v="78"/>
    <x v="0"/>
    <x v="1"/>
    <x v="6"/>
    <x v="12"/>
    <n v="42.64"/>
    <x v="4"/>
    <s v="No"/>
    <n v="20493.580000000002"/>
  </r>
  <r>
    <s v="TXN-20135"/>
    <x v="79"/>
    <x v="1"/>
    <x v="1"/>
    <x v="2"/>
    <x v="2"/>
    <n v="54.1"/>
    <x v="2"/>
    <s v="No"/>
    <n v="20439.48"/>
  </r>
  <r>
    <s v="TXN-20136"/>
    <x v="79"/>
    <x v="1"/>
    <x v="1"/>
    <x v="6"/>
    <x v="14"/>
    <n v="54.2"/>
    <x v="3"/>
    <s v="No"/>
    <n v="20385.28"/>
  </r>
  <r>
    <s v="TXN-20137"/>
    <x v="80"/>
    <x v="0"/>
    <x v="1"/>
    <x v="3"/>
    <x v="30"/>
    <n v="45.63"/>
    <x v="3"/>
    <s v="No"/>
    <n v="20339.650000000001"/>
  </r>
  <r>
    <s v="TXN-20138"/>
    <x v="81"/>
    <x v="0"/>
    <x v="0"/>
    <x v="7"/>
    <x v="32"/>
    <n v="713.12"/>
    <x v="5"/>
    <s v="No"/>
    <n v="21052.77"/>
  </r>
  <r>
    <s v="TXN-20139"/>
    <x v="82"/>
    <x v="0"/>
    <x v="1"/>
    <x v="3"/>
    <x v="29"/>
    <n v="158.47999999999999"/>
    <x v="3"/>
    <s v="No"/>
    <n v="20894.29"/>
  </r>
  <r>
    <s v="TXN-20140"/>
    <x v="82"/>
    <x v="1"/>
    <x v="1"/>
    <x v="2"/>
    <x v="11"/>
    <n v="31.37"/>
    <x v="2"/>
    <s v="No"/>
    <n v="20862.919999999998"/>
  </r>
  <r>
    <s v="TXN-20141"/>
    <x v="83"/>
    <x v="1"/>
    <x v="1"/>
    <x v="3"/>
    <x v="10"/>
    <n v="94.14"/>
    <x v="3"/>
    <s v="No"/>
    <n v="20768.78"/>
  </r>
  <r>
    <s v="TXN-20142"/>
    <x v="83"/>
    <x v="0"/>
    <x v="1"/>
    <x v="2"/>
    <x v="31"/>
    <n v="72.98"/>
    <x v="3"/>
    <s v="No"/>
    <n v="20695.8"/>
  </r>
  <r>
    <s v="TXN-20143"/>
    <x v="83"/>
    <x v="1"/>
    <x v="1"/>
    <x v="6"/>
    <x v="27"/>
    <n v="17.09"/>
    <x v="4"/>
    <s v="No"/>
    <n v="20678.71"/>
  </r>
  <r>
    <s v="TXN-20144"/>
    <x v="84"/>
    <x v="0"/>
    <x v="1"/>
    <x v="3"/>
    <x v="30"/>
    <n v="87.53"/>
    <x v="4"/>
    <s v="No"/>
    <n v="20591.18"/>
  </r>
  <r>
    <s v="TXN-20145"/>
    <x v="84"/>
    <x v="1"/>
    <x v="1"/>
    <x v="6"/>
    <x v="16"/>
    <n v="45.97"/>
    <x v="4"/>
    <s v="No"/>
    <n v="20545.21"/>
  </r>
  <r>
    <s v="TXN-20146"/>
    <x v="84"/>
    <x v="0"/>
    <x v="1"/>
    <x v="4"/>
    <x v="35"/>
    <n v="20.45"/>
    <x v="3"/>
    <s v="No"/>
    <n v="20524.759999999998"/>
  </r>
  <r>
    <s v="TXN-20147"/>
    <x v="85"/>
    <x v="0"/>
    <x v="1"/>
    <x v="3"/>
    <x v="30"/>
    <n v="95.98"/>
    <x v="4"/>
    <s v="No"/>
    <n v="20428.78"/>
  </r>
  <r>
    <s v="TXN-20148"/>
    <x v="86"/>
    <x v="0"/>
    <x v="1"/>
    <x v="3"/>
    <x v="10"/>
    <n v="79.77"/>
    <x v="4"/>
    <s v="No"/>
    <n v="20349.009999999998"/>
  </r>
  <r>
    <s v="TXN-20149"/>
    <x v="86"/>
    <x v="1"/>
    <x v="1"/>
    <x v="6"/>
    <x v="8"/>
    <n v="30.5"/>
    <x v="2"/>
    <s v="No"/>
    <n v="20318.509999999998"/>
  </r>
  <r>
    <s v="TXN-20150"/>
    <x v="87"/>
    <x v="0"/>
    <x v="1"/>
    <x v="2"/>
    <x v="11"/>
    <n v="9.66"/>
    <x v="4"/>
    <s v="No"/>
    <n v="20308.849999999999"/>
  </r>
  <r>
    <s v="TXN-20151"/>
    <x v="87"/>
    <x v="1"/>
    <x v="1"/>
    <x v="6"/>
    <x v="27"/>
    <n v="54.11"/>
    <x v="4"/>
    <s v="No"/>
    <n v="20254.740000000002"/>
  </r>
  <r>
    <s v="TXN-20152"/>
    <x v="88"/>
    <x v="0"/>
    <x v="1"/>
    <x v="6"/>
    <x v="20"/>
    <n v="45.95"/>
    <x v="2"/>
    <s v="No"/>
    <n v="20208.79"/>
  </r>
  <r>
    <s v="TXN-20153"/>
    <x v="89"/>
    <x v="0"/>
    <x v="1"/>
    <x v="6"/>
    <x v="12"/>
    <n v="34.4"/>
    <x v="4"/>
    <s v="No"/>
    <n v="20174.39"/>
  </r>
  <r>
    <s v="TXN-20154"/>
    <x v="90"/>
    <x v="1"/>
    <x v="1"/>
    <x v="3"/>
    <x v="29"/>
    <n v="33.049999999999997"/>
    <x v="4"/>
    <s v="No"/>
    <n v="20141.34"/>
  </r>
  <r>
    <s v="TXN-20155"/>
    <x v="90"/>
    <x v="1"/>
    <x v="1"/>
    <x v="2"/>
    <x v="33"/>
    <n v="70.91"/>
    <x v="3"/>
    <s v="No"/>
    <n v="20070.43"/>
  </r>
  <r>
    <s v="TXN-20156"/>
    <x v="91"/>
    <x v="0"/>
    <x v="1"/>
    <x v="2"/>
    <x v="25"/>
    <n v="75.19"/>
    <x v="2"/>
    <s v="No"/>
    <n v="19995.240000000002"/>
  </r>
  <r>
    <s v="TXN-20157"/>
    <x v="92"/>
    <x v="1"/>
    <x v="1"/>
    <x v="2"/>
    <x v="21"/>
    <n v="74.709999999999994"/>
    <x v="3"/>
    <s v="No"/>
    <n v="19920.53"/>
  </r>
  <r>
    <s v="TXN-20158"/>
    <x v="92"/>
    <x v="1"/>
    <x v="1"/>
    <x v="6"/>
    <x v="16"/>
    <n v="30.43"/>
    <x v="2"/>
    <s v="No"/>
    <n v="19890.099999999999"/>
  </r>
  <r>
    <s v="TXN-20159"/>
    <x v="92"/>
    <x v="0"/>
    <x v="1"/>
    <x v="4"/>
    <x v="35"/>
    <n v="32.44"/>
    <x v="3"/>
    <s v="No"/>
    <n v="19857.66"/>
  </r>
  <r>
    <s v="TXN-20160"/>
    <x v="93"/>
    <x v="1"/>
    <x v="1"/>
    <x v="2"/>
    <x v="31"/>
    <n v="8.4700000000000006"/>
    <x v="3"/>
    <s v="No"/>
    <n v="19849.189999999999"/>
  </r>
  <r>
    <s v="TXN-20161"/>
    <x v="94"/>
    <x v="0"/>
    <x v="1"/>
    <x v="6"/>
    <x v="14"/>
    <n v="30.97"/>
    <x v="2"/>
    <s v="No"/>
    <n v="19818.22"/>
  </r>
  <r>
    <s v="TXN-20162"/>
    <x v="95"/>
    <x v="0"/>
    <x v="1"/>
    <x v="2"/>
    <x v="11"/>
    <n v="39.81"/>
    <x v="3"/>
    <s v="No"/>
    <n v="19778.41"/>
  </r>
  <r>
    <s v="TXN-20163"/>
    <x v="96"/>
    <x v="0"/>
    <x v="1"/>
    <x v="3"/>
    <x v="10"/>
    <n v="62.83"/>
    <x v="3"/>
    <s v="No"/>
    <n v="19715.580000000002"/>
  </r>
  <r>
    <s v="TXN-20164"/>
    <x v="96"/>
    <x v="0"/>
    <x v="1"/>
    <x v="6"/>
    <x v="8"/>
    <n v="43.09"/>
    <x v="2"/>
    <s v="No"/>
    <n v="19672.490000000002"/>
  </r>
  <r>
    <s v="TXN-20165"/>
    <x v="97"/>
    <x v="2"/>
    <x v="0"/>
    <x v="7"/>
    <x v="28"/>
    <n v="591.95000000000005"/>
    <x v="5"/>
    <s v="No"/>
    <n v="20264.439999999999"/>
  </r>
  <r>
    <s v="TXN-20166"/>
    <x v="97"/>
    <x v="0"/>
    <x v="1"/>
    <x v="4"/>
    <x v="38"/>
    <n v="48.82"/>
    <x v="4"/>
    <s v="No"/>
    <n v="20215.62"/>
  </r>
  <r>
    <s v="TXN-20167"/>
    <x v="98"/>
    <x v="0"/>
    <x v="0"/>
    <x v="0"/>
    <x v="40"/>
    <n v="4234.45"/>
    <x v="0"/>
    <s v="Yes"/>
    <n v="24450.07"/>
  </r>
  <r>
    <s v="TXN-20168"/>
    <x v="98"/>
    <x v="0"/>
    <x v="1"/>
    <x v="1"/>
    <x v="1"/>
    <n v="1260.8900000000001"/>
    <x v="1"/>
    <s v="Yes"/>
    <n v="23189.18"/>
  </r>
  <r>
    <s v="TXN-20169"/>
    <x v="98"/>
    <x v="0"/>
    <x v="1"/>
    <x v="3"/>
    <x v="29"/>
    <n v="34.56"/>
    <x v="3"/>
    <s v="No"/>
    <n v="23154.62"/>
  </r>
  <r>
    <s v="TXN-20170"/>
    <x v="99"/>
    <x v="1"/>
    <x v="1"/>
    <x v="2"/>
    <x v="18"/>
    <n v="25.91"/>
    <x v="3"/>
    <s v="No"/>
    <n v="23128.71"/>
  </r>
  <r>
    <s v="TXN-20171"/>
    <x v="100"/>
    <x v="1"/>
    <x v="1"/>
    <x v="2"/>
    <x v="11"/>
    <n v="16.57"/>
    <x v="3"/>
    <s v="No"/>
    <n v="23112.14"/>
  </r>
  <r>
    <s v="TXN-20172"/>
    <x v="101"/>
    <x v="0"/>
    <x v="0"/>
    <x v="7"/>
    <x v="28"/>
    <n v="940.98"/>
    <x v="6"/>
    <s v="No"/>
    <n v="24053.119999999999"/>
  </r>
  <r>
    <s v="TXN-20173"/>
    <x v="101"/>
    <x v="1"/>
    <x v="1"/>
    <x v="5"/>
    <x v="9"/>
    <n v="136.25"/>
    <x v="1"/>
    <s v="Yes"/>
    <n v="23916.87"/>
  </r>
  <r>
    <s v="TXN-20174"/>
    <x v="101"/>
    <x v="1"/>
    <x v="1"/>
    <x v="2"/>
    <x v="21"/>
    <n v="76.819999999999993"/>
    <x v="3"/>
    <s v="No"/>
    <n v="23840.05"/>
  </r>
  <r>
    <s v="TXN-20175"/>
    <x v="101"/>
    <x v="1"/>
    <x v="1"/>
    <x v="4"/>
    <x v="22"/>
    <n v="31.9"/>
    <x v="4"/>
    <s v="No"/>
    <n v="23808.15"/>
  </r>
  <r>
    <s v="TXN-20176"/>
    <x v="102"/>
    <x v="0"/>
    <x v="1"/>
    <x v="5"/>
    <x v="7"/>
    <n v="179.51"/>
    <x v="1"/>
    <s v="Yes"/>
    <n v="23628.639999999999"/>
  </r>
  <r>
    <s v="TXN-20177"/>
    <x v="102"/>
    <x v="1"/>
    <x v="1"/>
    <x v="3"/>
    <x v="19"/>
    <n v="128.22999999999999"/>
    <x v="3"/>
    <s v="No"/>
    <n v="23500.41"/>
  </r>
  <r>
    <s v="TXN-20178"/>
    <x v="102"/>
    <x v="1"/>
    <x v="1"/>
    <x v="2"/>
    <x v="25"/>
    <n v="59.81"/>
    <x v="3"/>
    <s v="No"/>
    <n v="23440.6"/>
  </r>
  <r>
    <s v="TXN-20179"/>
    <x v="103"/>
    <x v="0"/>
    <x v="1"/>
    <x v="3"/>
    <x v="3"/>
    <n v="160.01"/>
    <x v="4"/>
    <s v="No"/>
    <n v="23280.59"/>
  </r>
  <r>
    <s v="TXN-20180"/>
    <x v="103"/>
    <x v="0"/>
    <x v="1"/>
    <x v="6"/>
    <x v="20"/>
    <n v="11.79"/>
    <x v="4"/>
    <s v="No"/>
    <n v="23268.799999999999"/>
  </r>
  <r>
    <s v="TXN-20181"/>
    <x v="104"/>
    <x v="0"/>
    <x v="1"/>
    <x v="3"/>
    <x v="30"/>
    <n v="164.89"/>
    <x v="4"/>
    <s v="No"/>
    <n v="23103.91"/>
  </r>
  <r>
    <s v="TXN-20182"/>
    <x v="104"/>
    <x v="1"/>
    <x v="1"/>
    <x v="2"/>
    <x v="4"/>
    <n v="23.74"/>
    <x v="4"/>
    <s v="No"/>
    <n v="23080.17"/>
  </r>
  <r>
    <s v="TXN-20183"/>
    <x v="105"/>
    <x v="1"/>
    <x v="1"/>
    <x v="6"/>
    <x v="8"/>
    <n v="20.02"/>
    <x v="3"/>
    <s v="No"/>
    <n v="23060.15"/>
  </r>
  <r>
    <s v="TXN-20184"/>
    <x v="106"/>
    <x v="0"/>
    <x v="1"/>
    <x v="3"/>
    <x v="10"/>
    <n v="158.78"/>
    <x v="4"/>
    <s v="No"/>
    <n v="22901.37"/>
  </r>
  <r>
    <s v="TXN-20185"/>
    <x v="107"/>
    <x v="1"/>
    <x v="1"/>
    <x v="6"/>
    <x v="20"/>
    <n v="33.36"/>
    <x v="3"/>
    <s v="No"/>
    <n v="22868.01"/>
  </r>
  <r>
    <s v="TXN-20186"/>
    <x v="107"/>
    <x v="0"/>
    <x v="1"/>
    <x v="4"/>
    <x v="22"/>
    <n v="24.41"/>
    <x v="3"/>
    <s v="No"/>
    <n v="22843.599999999999"/>
  </r>
  <r>
    <s v="TXN-20187"/>
    <x v="108"/>
    <x v="0"/>
    <x v="1"/>
    <x v="2"/>
    <x v="31"/>
    <n v="59.96"/>
    <x v="3"/>
    <s v="No"/>
    <n v="22783.64"/>
  </r>
  <r>
    <s v="TXN-20188"/>
    <x v="109"/>
    <x v="0"/>
    <x v="0"/>
    <x v="0"/>
    <x v="0"/>
    <n v="4376.3599999999997"/>
    <x v="0"/>
    <s v="Yes"/>
    <n v="27160"/>
  </r>
  <r>
    <s v="TXN-20189"/>
    <x v="109"/>
    <x v="0"/>
    <x v="1"/>
    <x v="3"/>
    <x v="19"/>
    <n v="150.06"/>
    <x v="4"/>
    <s v="No"/>
    <n v="27009.94"/>
  </r>
  <r>
    <s v="TXN-20190"/>
    <x v="110"/>
    <x v="0"/>
    <x v="1"/>
    <x v="3"/>
    <x v="10"/>
    <n v="76"/>
    <x v="3"/>
    <s v="No"/>
    <n v="26933.94"/>
  </r>
  <r>
    <s v="TXN-20191"/>
    <x v="110"/>
    <x v="1"/>
    <x v="1"/>
    <x v="6"/>
    <x v="23"/>
    <n v="9.86"/>
    <x v="2"/>
    <s v="No"/>
    <n v="26924.080000000002"/>
  </r>
  <r>
    <s v="TXN-20192"/>
    <x v="111"/>
    <x v="1"/>
    <x v="1"/>
    <x v="2"/>
    <x v="31"/>
    <n v="69.3"/>
    <x v="4"/>
    <s v="No"/>
    <n v="26854.78"/>
  </r>
  <r>
    <s v="TXN-20193"/>
    <x v="112"/>
    <x v="1"/>
    <x v="1"/>
    <x v="3"/>
    <x v="19"/>
    <n v="67.72"/>
    <x v="4"/>
    <s v="No"/>
    <n v="26787.06"/>
  </r>
  <r>
    <s v="TXN-20194"/>
    <x v="112"/>
    <x v="1"/>
    <x v="1"/>
    <x v="2"/>
    <x v="18"/>
    <n v="26.48"/>
    <x v="3"/>
    <s v="No"/>
    <n v="26760.58"/>
  </r>
  <r>
    <s v="TXN-20195"/>
    <x v="113"/>
    <x v="0"/>
    <x v="1"/>
    <x v="2"/>
    <x v="2"/>
    <n v="32.54"/>
    <x v="3"/>
    <s v="No"/>
    <n v="26728.04"/>
  </r>
  <r>
    <s v="TXN-20196"/>
    <x v="113"/>
    <x v="0"/>
    <x v="1"/>
    <x v="6"/>
    <x v="23"/>
    <n v="42.39"/>
    <x v="4"/>
    <s v="No"/>
    <n v="26685.65"/>
  </r>
  <r>
    <s v="TXN-20197"/>
    <x v="114"/>
    <x v="1"/>
    <x v="1"/>
    <x v="3"/>
    <x v="17"/>
    <n v="55.22"/>
    <x v="3"/>
    <s v="No"/>
    <n v="26630.43"/>
  </r>
  <r>
    <s v="TXN-20198"/>
    <x v="114"/>
    <x v="1"/>
    <x v="1"/>
    <x v="2"/>
    <x v="11"/>
    <n v="26.22"/>
    <x v="4"/>
    <s v="No"/>
    <n v="26604.21"/>
  </r>
  <r>
    <s v="TXN-20199"/>
    <x v="115"/>
    <x v="1"/>
    <x v="1"/>
    <x v="6"/>
    <x v="27"/>
    <n v="10.83"/>
    <x v="3"/>
    <s v="No"/>
    <n v="26593.38"/>
  </r>
  <r>
    <s v="TXN-20200"/>
    <x v="116"/>
    <x v="2"/>
    <x v="0"/>
    <x v="7"/>
    <x v="28"/>
    <n v="831.19"/>
    <x v="5"/>
    <s v="No"/>
    <n v="27424.57"/>
  </r>
  <r>
    <s v="TXN-20201"/>
    <x v="116"/>
    <x v="0"/>
    <x v="1"/>
    <x v="2"/>
    <x v="33"/>
    <n v="42.45"/>
    <x v="2"/>
    <s v="No"/>
    <n v="27382.12"/>
  </r>
  <r>
    <s v="TXN-20202"/>
    <x v="117"/>
    <x v="1"/>
    <x v="1"/>
    <x v="6"/>
    <x v="8"/>
    <n v="11.12"/>
    <x v="2"/>
    <s v="No"/>
    <n v="27371"/>
  </r>
  <r>
    <s v="TXN-20203"/>
    <x v="118"/>
    <x v="1"/>
    <x v="1"/>
    <x v="2"/>
    <x v="25"/>
    <n v="70.12"/>
    <x v="4"/>
    <s v="No"/>
    <n v="27300.880000000001"/>
  </r>
  <r>
    <s v="TXN-20204"/>
    <x v="119"/>
    <x v="1"/>
    <x v="1"/>
    <x v="3"/>
    <x v="10"/>
    <n v="63.5"/>
    <x v="4"/>
    <s v="No"/>
    <n v="27237.38"/>
  </r>
  <r>
    <s v="TXN-20205"/>
    <x v="119"/>
    <x v="1"/>
    <x v="1"/>
    <x v="2"/>
    <x v="11"/>
    <n v="17.86"/>
    <x v="4"/>
    <s v="No"/>
    <n v="27219.52"/>
  </r>
  <r>
    <s v="TXN-20206"/>
    <x v="120"/>
    <x v="1"/>
    <x v="1"/>
    <x v="2"/>
    <x v="33"/>
    <n v="17.48"/>
    <x v="4"/>
    <s v="No"/>
    <n v="27202.04"/>
  </r>
  <r>
    <s v="TXN-20207"/>
    <x v="121"/>
    <x v="0"/>
    <x v="1"/>
    <x v="2"/>
    <x v="25"/>
    <n v="35.409999999999997"/>
    <x v="3"/>
    <s v="No"/>
    <n v="27166.63"/>
  </r>
  <r>
    <s v="TXN-20208"/>
    <x v="121"/>
    <x v="1"/>
    <x v="1"/>
    <x v="6"/>
    <x v="14"/>
    <n v="13.25"/>
    <x v="4"/>
    <s v="No"/>
    <n v="27153.38"/>
  </r>
  <r>
    <s v="TXN-20209"/>
    <x v="122"/>
    <x v="1"/>
    <x v="1"/>
    <x v="3"/>
    <x v="10"/>
    <n v="127.41"/>
    <x v="4"/>
    <s v="No"/>
    <n v="27025.97"/>
  </r>
  <r>
    <s v="TXN-20210"/>
    <x v="123"/>
    <x v="0"/>
    <x v="1"/>
    <x v="6"/>
    <x v="27"/>
    <n v="25.55"/>
    <x v="2"/>
    <s v="No"/>
    <n v="27000.42"/>
  </r>
  <r>
    <s v="TXN-20211"/>
    <x v="124"/>
    <x v="0"/>
    <x v="0"/>
    <x v="0"/>
    <x v="40"/>
    <n v="4477.01"/>
    <x v="0"/>
    <s v="Yes"/>
    <n v="31477.43"/>
  </r>
  <r>
    <s v="TXN-20212"/>
    <x v="124"/>
    <x v="0"/>
    <x v="1"/>
    <x v="1"/>
    <x v="1"/>
    <n v="1977.5"/>
    <x v="1"/>
    <s v="Yes"/>
    <n v="29499.93"/>
  </r>
  <r>
    <s v="TXN-20213"/>
    <x v="125"/>
    <x v="1"/>
    <x v="1"/>
    <x v="2"/>
    <x v="5"/>
    <n v="28.2"/>
    <x v="4"/>
    <s v="No"/>
    <n v="29471.73"/>
  </r>
  <r>
    <s v="TXN-20214"/>
    <x v="126"/>
    <x v="0"/>
    <x v="1"/>
    <x v="4"/>
    <x v="37"/>
    <n v="37.92"/>
    <x v="4"/>
    <s v="No"/>
    <n v="29433.81"/>
  </r>
  <r>
    <s v="TXN-20215"/>
    <x v="127"/>
    <x v="0"/>
    <x v="1"/>
    <x v="5"/>
    <x v="34"/>
    <n v="200.31"/>
    <x v="1"/>
    <s v="Yes"/>
    <n v="29233.5"/>
  </r>
  <r>
    <s v="TXN-20216"/>
    <x v="127"/>
    <x v="1"/>
    <x v="1"/>
    <x v="3"/>
    <x v="29"/>
    <n v="36.78"/>
    <x v="3"/>
    <s v="No"/>
    <n v="29196.720000000001"/>
  </r>
  <r>
    <s v="TXN-20217"/>
    <x v="127"/>
    <x v="0"/>
    <x v="1"/>
    <x v="2"/>
    <x v="21"/>
    <n v="66.33"/>
    <x v="4"/>
    <s v="No"/>
    <n v="29130.39"/>
  </r>
  <r>
    <s v="TXN-20218"/>
    <x v="128"/>
    <x v="0"/>
    <x v="1"/>
    <x v="3"/>
    <x v="30"/>
    <n v="142.71"/>
    <x v="4"/>
    <s v="No"/>
    <n v="28987.68"/>
  </r>
  <r>
    <s v="TXN-20219"/>
    <x v="129"/>
    <x v="0"/>
    <x v="1"/>
    <x v="3"/>
    <x v="13"/>
    <n v="96.38"/>
    <x v="3"/>
    <s v="No"/>
    <n v="28891.3"/>
  </r>
  <r>
    <s v="TXN-20220"/>
    <x v="129"/>
    <x v="0"/>
    <x v="1"/>
    <x v="2"/>
    <x v="5"/>
    <n v="59.79"/>
    <x v="4"/>
    <s v="No"/>
    <n v="28831.51"/>
  </r>
  <r>
    <s v="TXN-20221"/>
    <x v="129"/>
    <x v="0"/>
    <x v="1"/>
    <x v="6"/>
    <x v="12"/>
    <n v="29.55"/>
    <x v="3"/>
    <s v="No"/>
    <n v="28801.96"/>
  </r>
  <r>
    <s v="TXN-20222"/>
    <x v="130"/>
    <x v="0"/>
    <x v="1"/>
    <x v="5"/>
    <x v="9"/>
    <n v="88.55"/>
    <x v="1"/>
    <s v="Yes"/>
    <n v="28713.41"/>
  </r>
  <r>
    <s v="TXN-20223"/>
    <x v="130"/>
    <x v="0"/>
    <x v="1"/>
    <x v="3"/>
    <x v="17"/>
    <n v="162.08000000000001"/>
    <x v="4"/>
    <s v="No"/>
    <n v="28551.33"/>
  </r>
  <r>
    <s v="TXN-20224"/>
    <x v="130"/>
    <x v="1"/>
    <x v="1"/>
    <x v="6"/>
    <x v="23"/>
    <n v="35.450000000000003"/>
    <x v="2"/>
    <s v="No"/>
    <n v="28515.88"/>
  </r>
  <r>
    <s v="TXN-20225"/>
    <x v="130"/>
    <x v="0"/>
    <x v="1"/>
    <x v="4"/>
    <x v="38"/>
    <n v="88.74"/>
    <x v="3"/>
    <s v="No"/>
    <n v="28427.14"/>
  </r>
  <r>
    <s v="TXN-20226"/>
    <x v="131"/>
    <x v="1"/>
    <x v="1"/>
    <x v="5"/>
    <x v="26"/>
    <n v="239.29"/>
    <x v="1"/>
    <s v="Yes"/>
    <n v="28187.85"/>
  </r>
  <r>
    <s v="TXN-20227"/>
    <x v="131"/>
    <x v="1"/>
    <x v="1"/>
    <x v="2"/>
    <x v="31"/>
    <n v="56.28"/>
    <x v="3"/>
    <s v="No"/>
    <n v="28131.57"/>
  </r>
  <r>
    <s v="TXN-20228"/>
    <x v="132"/>
    <x v="1"/>
    <x v="1"/>
    <x v="6"/>
    <x v="23"/>
    <n v="57.21"/>
    <x v="4"/>
    <s v="No"/>
    <n v="28074.36"/>
  </r>
  <r>
    <s v="TXN-20229"/>
    <x v="132"/>
    <x v="0"/>
    <x v="1"/>
    <x v="4"/>
    <x v="22"/>
    <n v="17.28"/>
    <x v="4"/>
    <s v="No"/>
    <n v="28057.08"/>
  </r>
  <r>
    <s v="TXN-20230"/>
    <x v="133"/>
    <x v="0"/>
    <x v="1"/>
    <x v="3"/>
    <x v="13"/>
    <n v="140.16999999999999"/>
    <x v="4"/>
    <s v="No"/>
    <n v="27916.91"/>
  </r>
  <r>
    <s v="TXN-20231"/>
    <x v="133"/>
    <x v="0"/>
    <x v="1"/>
    <x v="6"/>
    <x v="14"/>
    <n v="12.59"/>
    <x v="4"/>
    <s v="No"/>
    <n v="27904.32"/>
  </r>
  <r>
    <s v="TXN-20232"/>
    <x v="134"/>
    <x v="0"/>
    <x v="1"/>
    <x v="3"/>
    <x v="29"/>
    <n v="47.79"/>
    <x v="4"/>
    <s v="No"/>
    <n v="27856.53"/>
  </r>
  <r>
    <s v="TXN-20233"/>
    <x v="135"/>
    <x v="1"/>
    <x v="1"/>
    <x v="3"/>
    <x v="29"/>
    <n v="86.69"/>
    <x v="3"/>
    <s v="No"/>
    <n v="27769.84"/>
  </r>
  <r>
    <s v="TXN-20234"/>
    <x v="136"/>
    <x v="1"/>
    <x v="1"/>
    <x v="2"/>
    <x v="33"/>
    <n v="8.4700000000000006"/>
    <x v="3"/>
    <s v="No"/>
    <n v="27761.37"/>
  </r>
  <r>
    <s v="TXN-20235"/>
    <x v="137"/>
    <x v="0"/>
    <x v="0"/>
    <x v="0"/>
    <x v="40"/>
    <n v="4923.22"/>
    <x v="0"/>
    <s v="Yes"/>
    <n v="32684.59"/>
  </r>
  <r>
    <s v="TXN-20236"/>
    <x v="137"/>
    <x v="0"/>
    <x v="1"/>
    <x v="2"/>
    <x v="25"/>
    <n v="32.81"/>
    <x v="3"/>
    <s v="No"/>
    <n v="32651.78"/>
  </r>
  <r>
    <s v="TXN-20237"/>
    <x v="138"/>
    <x v="0"/>
    <x v="0"/>
    <x v="7"/>
    <x v="32"/>
    <n v="443.78"/>
    <x v="5"/>
    <s v="No"/>
    <n v="33095.56"/>
  </r>
  <r>
    <s v="TXN-20238"/>
    <x v="138"/>
    <x v="0"/>
    <x v="1"/>
    <x v="4"/>
    <x v="6"/>
    <n v="90.33"/>
    <x v="3"/>
    <s v="No"/>
    <n v="33005.230000000003"/>
  </r>
  <r>
    <s v="TXN-20239"/>
    <x v="139"/>
    <x v="1"/>
    <x v="1"/>
    <x v="2"/>
    <x v="11"/>
    <n v="24.75"/>
    <x v="2"/>
    <s v="No"/>
    <n v="32980.480000000003"/>
  </r>
  <r>
    <s v="TXN-20240"/>
    <x v="140"/>
    <x v="0"/>
    <x v="1"/>
    <x v="6"/>
    <x v="14"/>
    <n v="40.58"/>
    <x v="3"/>
    <s v="No"/>
    <n v="32939.9"/>
  </r>
  <r>
    <s v="TXN-20241"/>
    <x v="141"/>
    <x v="1"/>
    <x v="1"/>
    <x v="2"/>
    <x v="11"/>
    <n v="32.35"/>
    <x v="3"/>
    <s v="No"/>
    <n v="32907.550000000003"/>
  </r>
  <r>
    <s v="TXN-20242"/>
    <x v="142"/>
    <x v="1"/>
    <x v="1"/>
    <x v="4"/>
    <x v="36"/>
    <n v="76.430000000000007"/>
    <x v="3"/>
    <s v="No"/>
    <n v="32831.120000000003"/>
  </r>
  <r>
    <s v="TXN-20243"/>
    <x v="143"/>
    <x v="1"/>
    <x v="1"/>
    <x v="6"/>
    <x v="14"/>
    <n v="45.33"/>
    <x v="3"/>
    <s v="No"/>
    <n v="32785.79"/>
  </r>
  <r>
    <s v="TXN-20244"/>
    <x v="144"/>
    <x v="1"/>
    <x v="1"/>
    <x v="2"/>
    <x v="2"/>
    <n v="75.650000000000006"/>
    <x v="2"/>
    <s v="No"/>
    <n v="32710.14"/>
  </r>
  <r>
    <s v="TXN-20245"/>
    <x v="144"/>
    <x v="0"/>
    <x v="1"/>
    <x v="4"/>
    <x v="15"/>
    <n v="63.95"/>
    <x v="3"/>
    <s v="No"/>
    <n v="32646.19"/>
  </r>
  <r>
    <s v="TXN-20246"/>
    <x v="145"/>
    <x v="1"/>
    <x v="1"/>
    <x v="2"/>
    <x v="31"/>
    <n v="9.9600000000000009"/>
    <x v="3"/>
    <s v="No"/>
    <n v="32636.23"/>
  </r>
  <r>
    <s v="TXN-20247"/>
    <x v="146"/>
    <x v="0"/>
    <x v="1"/>
    <x v="3"/>
    <x v="13"/>
    <n v="99.16"/>
    <x v="4"/>
    <s v="No"/>
    <n v="32537.07"/>
  </r>
  <r>
    <s v="TXN-20248"/>
    <x v="147"/>
    <x v="0"/>
    <x v="1"/>
    <x v="6"/>
    <x v="16"/>
    <n v="29.95"/>
    <x v="2"/>
    <s v="No"/>
    <n v="32507.119999999999"/>
  </r>
  <r>
    <s v="TXN-20249"/>
    <x v="148"/>
    <x v="0"/>
    <x v="1"/>
    <x v="2"/>
    <x v="25"/>
    <n v="41.84"/>
    <x v="4"/>
    <s v="No"/>
    <n v="32465.279999999999"/>
  </r>
  <r>
    <s v="TXN-20250"/>
    <x v="149"/>
    <x v="0"/>
    <x v="1"/>
    <x v="2"/>
    <x v="5"/>
    <n v="50.82"/>
    <x v="4"/>
    <s v="No"/>
    <n v="32414.46"/>
  </r>
  <r>
    <s v="TXN-20251"/>
    <x v="150"/>
    <x v="0"/>
    <x v="0"/>
    <x v="0"/>
    <x v="40"/>
    <n v="4318.6099999999997"/>
    <x v="0"/>
    <s v="Yes"/>
    <n v="36733.07"/>
  </r>
  <r>
    <s v="TXN-20252"/>
    <x v="150"/>
    <x v="0"/>
    <x v="1"/>
    <x v="1"/>
    <x v="39"/>
    <n v="1331.06"/>
    <x v="1"/>
    <s v="Yes"/>
    <n v="35402.01"/>
  </r>
  <r>
    <s v="TXN-20253"/>
    <x v="150"/>
    <x v="0"/>
    <x v="1"/>
    <x v="2"/>
    <x v="4"/>
    <n v="61.18"/>
    <x v="3"/>
    <s v="No"/>
    <n v="35340.83"/>
  </r>
  <r>
    <s v="TXN-20254"/>
    <x v="151"/>
    <x v="1"/>
    <x v="1"/>
    <x v="2"/>
    <x v="33"/>
    <n v="63.97"/>
    <x v="4"/>
    <s v="No"/>
    <n v="35276.86"/>
  </r>
  <r>
    <s v="TXN-20255"/>
    <x v="152"/>
    <x v="0"/>
    <x v="1"/>
    <x v="4"/>
    <x v="36"/>
    <n v="50.97"/>
    <x v="3"/>
    <s v="No"/>
    <n v="35225.89"/>
  </r>
  <r>
    <s v="TXN-20256"/>
    <x v="153"/>
    <x v="0"/>
    <x v="1"/>
    <x v="3"/>
    <x v="3"/>
    <n v="70.599999999999994"/>
    <x v="4"/>
    <s v="No"/>
    <n v="35155.29"/>
  </r>
  <r>
    <s v="TXN-20257"/>
    <x v="153"/>
    <x v="0"/>
    <x v="1"/>
    <x v="2"/>
    <x v="33"/>
    <n v="53.03"/>
    <x v="3"/>
    <s v="No"/>
    <n v="35102.26"/>
  </r>
  <r>
    <s v="TXN-20258"/>
    <x v="154"/>
    <x v="0"/>
    <x v="1"/>
    <x v="3"/>
    <x v="29"/>
    <n v="155.88"/>
    <x v="3"/>
    <s v="No"/>
    <n v="34946.379999999997"/>
  </r>
  <r>
    <s v="TXN-20259"/>
    <x v="154"/>
    <x v="0"/>
    <x v="1"/>
    <x v="6"/>
    <x v="27"/>
    <n v="16.47"/>
    <x v="3"/>
    <s v="No"/>
    <n v="34929.910000000003"/>
  </r>
  <r>
    <s v="TXN-20260"/>
    <x v="155"/>
    <x v="0"/>
    <x v="1"/>
    <x v="5"/>
    <x v="7"/>
    <n v="105.79"/>
    <x v="1"/>
    <s v="Yes"/>
    <n v="34824.120000000003"/>
  </r>
  <r>
    <s v="TXN-20261"/>
    <x v="155"/>
    <x v="1"/>
    <x v="1"/>
    <x v="3"/>
    <x v="19"/>
    <n v="100.99"/>
    <x v="3"/>
    <s v="No"/>
    <n v="34723.129999999997"/>
  </r>
  <r>
    <s v="TXN-20262"/>
    <x v="155"/>
    <x v="0"/>
    <x v="1"/>
    <x v="2"/>
    <x v="21"/>
    <n v="84.45"/>
    <x v="2"/>
    <s v="No"/>
    <n v="34638.68"/>
  </r>
  <r>
    <s v="TXN-20263"/>
    <x v="155"/>
    <x v="1"/>
    <x v="1"/>
    <x v="4"/>
    <x v="37"/>
    <n v="22.32"/>
    <x v="4"/>
    <s v="No"/>
    <n v="34616.36"/>
  </r>
  <r>
    <s v="TXN-20264"/>
    <x v="156"/>
    <x v="1"/>
    <x v="1"/>
    <x v="5"/>
    <x v="34"/>
    <n v="227.37"/>
    <x v="1"/>
    <s v="Yes"/>
    <n v="34388.99"/>
  </r>
  <r>
    <s v="TXN-20265"/>
    <x v="156"/>
    <x v="1"/>
    <x v="1"/>
    <x v="2"/>
    <x v="21"/>
    <n v="55.21"/>
    <x v="3"/>
    <s v="No"/>
    <n v="34333.78"/>
  </r>
  <r>
    <s v="TXN-20266"/>
    <x v="157"/>
    <x v="1"/>
    <x v="1"/>
    <x v="5"/>
    <x v="41"/>
    <n v="115.41"/>
    <x v="1"/>
    <s v="Yes"/>
    <n v="34218.370000000003"/>
  </r>
  <r>
    <s v="TXN-20267"/>
    <x v="158"/>
    <x v="0"/>
    <x v="1"/>
    <x v="5"/>
    <x v="26"/>
    <n v="163.94"/>
    <x v="1"/>
    <s v="Yes"/>
    <n v="34054.43"/>
  </r>
  <r>
    <s v="TXN-20268"/>
    <x v="158"/>
    <x v="1"/>
    <x v="1"/>
    <x v="4"/>
    <x v="15"/>
    <n v="15.53"/>
    <x v="3"/>
    <s v="No"/>
    <n v="34038.9"/>
  </r>
  <r>
    <s v="TXN-20269"/>
    <x v="159"/>
    <x v="1"/>
    <x v="1"/>
    <x v="2"/>
    <x v="11"/>
    <n v="55.95"/>
    <x v="3"/>
    <s v="No"/>
    <n v="33982.949999999997"/>
  </r>
  <r>
    <s v="TXN-20270"/>
    <x v="160"/>
    <x v="0"/>
    <x v="1"/>
    <x v="6"/>
    <x v="8"/>
    <n v="15.26"/>
    <x v="2"/>
    <s v="No"/>
    <n v="33967.69"/>
  </r>
  <r>
    <s v="TXN-20271"/>
    <x v="161"/>
    <x v="0"/>
    <x v="1"/>
    <x v="2"/>
    <x v="25"/>
    <n v="23.81"/>
    <x v="3"/>
    <s v="No"/>
    <n v="33943.879999999997"/>
  </r>
  <r>
    <s v="TXN-20272"/>
    <x v="162"/>
    <x v="0"/>
    <x v="0"/>
    <x v="0"/>
    <x v="0"/>
    <n v="5273.75"/>
    <x v="0"/>
    <s v="Yes"/>
    <n v="39217.629999999997"/>
  </r>
  <r>
    <s v="TXN-20273"/>
    <x v="162"/>
    <x v="0"/>
    <x v="1"/>
    <x v="6"/>
    <x v="12"/>
    <n v="47.75"/>
    <x v="4"/>
    <s v="No"/>
    <n v="39169.879999999997"/>
  </r>
  <r>
    <s v="TXN-20274"/>
    <x v="163"/>
    <x v="0"/>
    <x v="1"/>
    <x v="3"/>
    <x v="10"/>
    <n v="123.45"/>
    <x v="4"/>
    <s v="No"/>
    <n v="39046.43"/>
  </r>
  <r>
    <s v="TXN-20275"/>
    <x v="163"/>
    <x v="1"/>
    <x v="1"/>
    <x v="2"/>
    <x v="25"/>
    <n v="41.13"/>
    <x v="2"/>
    <s v="No"/>
    <n v="39005.300000000003"/>
  </r>
  <r>
    <s v="TXN-20276"/>
    <x v="164"/>
    <x v="0"/>
    <x v="1"/>
    <x v="3"/>
    <x v="30"/>
    <n v="95.1"/>
    <x v="4"/>
    <s v="No"/>
    <n v="38910.199999999997"/>
  </r>
  <r>
    <s v="TXN-20277"/>
    <x v="165"/>
    <x v="0"/>
    <x v="1"/>
    <x v="3"/>
    <x v="13"/>
    <n v="31.98"/>
    <x v="4"/>
    <s v="No"/>
    <n v="38878.22"/>
  </r>
  <r>
    <s v="TXN-20278"/>
    <x v="165"/>
    <x v="0"/>
    <x v="1"/>
    <x v="6"/>
    <x v="12"/>
    <n v="10.91"/>
    <x v="4"/>
    <s v="No"/>
    <n v="38867.31"/>
  </r>
  <r>
    <s v="TXN-20279"/>
    <x v="166"/>
    <x v="0"/>
    <x v="1"/>
    <x v="3"/>
    <x v="19"/>
    <n v="94.27"/>
    <x v="4"/>
    <s v="No"/>
    <n v="38773.040000000001"/>
  </r>
  <r>
    <s v="TXN-20280"/>
    <x v="167"/>
    <x v="2"/>
    <x v="0"/>
    <x v="7"/>
    <x v="42"/>
    <n v="1070.29"/>
    <x v="5"/>
    <s v="No"/>
    <n v="39843.33"/>
  </r>
  <r>
    <s v="TXN-20281"/>
    <x v="168"/>
    <x v="0"/>
    <x v="1"/>
    <x v="2"/>
    <x v="4"/>
    <n v="13.57"/>
    <x v="4"/>
    <s v="No"/>
    <n v="39829.760000000002"/>
  </r>
  <r>
    <s v="TXN-20282"/>
    <x v="168"/>
    <x v="1"/>
    <x v="1"/>
    <x v="6"/>
    <x v="27"/>
    <n v="45.35"/>
    <x v="3"/>
    <s v="No"/>
    <n v="39784.410000000003"/>
  </r>
  <r>
    <s v="TXN-20283"/>
    <x v="168"/>
    <x v="1"/>
    <x v="1"/>
    <x v="4"/>
    <x v="35"/>
    <n v="19.45"/>
    <x v="3"/>
    <s v="No"/>
    <n v="39764.959999999999"/>
  </r>
  <r>
    <s v="TXN-20284"/>
    <x v="169"/>
    <x v="1"/>
    <x v="1"/>
    <x v="3"/>
    <x v="19"/>
    <n v="165.55"/>
    <x v="3"/>
    <s v="No"/>
    <n v="39599.410000000003"/>
  </r>
  <r>
    <s v="TXN-20285"/>
    <x v="169"/>
    <x v="1"/>
    <x v="1"/>
    <x v="2"/>
    <x v="25"/>
    <n v="41.18"/>
    <x v="3"/>
    <s v="No"/>
    <n v="39558.230000000003"/>
  </r>
  <r>
    <s v="TXN-20286"/>
    <x v="170"/>
    <x v="1"/>
    <x v="1"/>
    <x v="3"/>
    <x v="17"/>
    <n v="18.66"/>
    <x v="4"/>
    <s v="No"/>
    <n v="39539.57"/>
  </r>
  <r>
    <s v="TXN-20287"/>
    <x v="170"/>
    <x v="1"/>
    <x v="1"/>
    <x v="2"/>
    <x v="2"/>
    <n v="37.47"/>
    <x v="4"/>
    <s v="No"/>
    <n v="39502.1"/>
  </r>
  <r>
    <s v="TXN-20288"/>
    <x v="170"/>
    <x v="0"/>
    <x v="1"/>
    <x v="6"/>
    <x v="16"/>
    <n v="43.84"/>
    <x v="3"/>
    <s v="No"/>
    <n v="39458.26"/>
  </r>
  <r>
    <s v="TXN-20289"/>
    <x v="170"/>
    <x v="0"/>
    <x v="1"/>
    <x v="4"/>
    <x v="37"/>
    <n v="90.34"/>
    <x v="4"/>
    <s v="No"/>
    <n v="39367.919999999998"/>
  </r>
  <r>
    <s v="TXN-20290"/>
    <x v="171"/>
    <x v="1"/>
    <x v="1"/>
    <x v="6"/>
    <x v="12"/>
    <n v="22"/>
    <x v="4"/>
    <s v="No"/>
    <n v="39345.919999999998"/>
  </r>
  <r>
    <s v="TXN-20291"/>
    <x v="172"/>
    <x v="0"/>
    <x v="1"/>
    <x v="3"/>
    <x v="29"/>
    <n v="35.94"/>
    <x v="3"/>
    <s v="No"/>
    <n v="39309.980000000003"/>
  </r>
  <r>
    <s v="TXN-20292"/>
    <x v="172"/>
    <x v="0"/>
    <x v="1"/>
    <x v="6"/>
    <x v="16"/>
    <n v="35.43"/>
    <x v="3"/>
    <s v="No"/>
    <n v="39274.550000000003"/>
  </r>
  <r>
    <s v="TXN-20293"/>
    <x v="173"/>
    <x v="1"/>
    <x v="1"/>
    <x v="2"/>
    <x v="33"/>
    <n v="34.159999999999997"/>
    <x v="4"/>
    <s v="No"/>
    <n v="39240.39"/>
  </r>
  <r>
    <s v="TXN-20294"/>
    <x v="173"/>
    <x v="1"/>
    <x v="1"/>
    <x v="6"/>
    <x v="14"/>
    <n v="50.54"/>
    <x v="2"/>
    <s v="No"/>
    <n v="39189.85"/>
  </r>
  <r>
    <s v="TXN-20295"/>
    <x v="174"/>
    <x v="1"/>
    <x v="1"/>
    <x v="3"/>
    <x v="17"/>
    <n v="130.66"/>
    <x v="3"/>
    <s v="No"/>
    <n v="39059.19"/>
  </r>
  <r>
    <s v="TXN-20296"/>
    <x v="175"/>
    <x v="0"/>
    <x v="0"/>
    <x v="0"/>
    <x v="40"/>
    <n v="4222.3"/>
    <x v="0"/>
    <s v="Yes"/>
    <n v="43281.49"/>
  </r>
  <r>
    <s v="TXN-20297"/>
    <x v="175"/>
    <x v="0"/>
    <x v="1"/>
    <x v="1"/>
    <x v="39"/>
    <n v="2095.98"/>
    <x v="1"/>
    <s v="Yes"/>
    <n v="41185.51"/>
  </r>
  <r>
    <s v="TXN-20298"/>
    <x v="175"/>
    <x v="0"/>
    <x v="1"/>
    <x v="4"/>
    <x v="35"/>
    <n v="38.479999999999997"/>
    <x v="3"/>
    <s v="No"/>
    <n v="41147.03"/>
  </r>
  <r>
    <s v="TXN-20299"/>
    <x v="176"/>
    <x v="0"/>
    <x v="1"/>
    <x v="2"/>
    <x v="5"/>
    <n v="23.26"/>
    <x v="3"/>
    <s v="No"/>
    <n v="41123.769999999997"/>
  </r>
  <r>
    <s v="TXN-20300"/>
    <x v="176"/>
    <x v="0"/>
    <x v="1"/>
    <x v="6"/>
    <x v="8"/>
    <n v="39.33"/>
    <x v="3"/>
    <s v="No"/>
    <n v="41084.44"/>
  </r>
  <r>
    <s v="TXN-20301"/>
    <x v="177"/>
    <x v="1"/>
    <x v="1"/>
    <x v="5"/>
    <x v="26"/>
    <n v="110.77"/>
    <x v="1"/>
    <s v="Yes"/>
    <n v="40973.67"/>
  </r>
  <r>
    <s v="TXN-20302"/>
    <x v="177"/>
    <x v="1"/>
    <x v="1"/>
    <x v="3"/>
    <x v="10"/>
    <n v="137.18"/>
    <x v="3"/>
    <s v="No"/>
    <n v="40836.49"/>
  </r>
  <r>
    <s v="TXN-20303"/>
    <x v="177"/>
    <x v="1"/>
    <x v="1"/>
    <x v="6"/>
    <x v="27"/>
    <n v="21.06"/>
    <x v="4"/>
    <s v="No"/>
    <n v="40815.43"/>
  </r>
  <r>
    <s v="TXN-20304"/>
    <x v="178"/>
    <x v="0"/>
    <x v="1"/>
    <x v="2"/>
    <x v="33"/>
    <n v="43.81"/>
    <x v="4"/>
    <s v="No"/>
    <n v="40771.620000000003"/>
  </r>
  <r>
    <s v="TXN-20305"/>
    <x v="179"/>
    <x v="1"/>
    <x v="1"/>
    <x v="2"/>
    <x v="25"/>
    <n v="76.319999999999993"/>
    <x v="2"/>
    <s v="No"/>
    <n v="40695.300000000003"/>
  </r>
  <r>
    <s v="TXN-20306"/>
    <x v="180"/>
    <x v="0"/>
    <x v="1"/>
    <x v="5"/>
    <x v="41"/>
    <n v="117.46"/>
    <x v="1"/>
    <s v="Yes"/>
    <n v="40577.839999999997"/>
  </r>
  <r>
    <s v="TXN-20307"/>
    <x v="180"/>
    <x v="1"/>
    <x v="1"/>
    <x v="6"/>
    <x v="12"/>
    <n v="56.48"/>
    <x v="2"/>
    <s v="No"/>
    <n v="40521.360000000001"/>
  </r>
  <r>
    <s v="TXN-20308"/>
    <x v="181"/>
    <x v="0"/>
    <x v="1"/>
    <x v="3"/>
    <x v="17"/>
    <n v="83.9"/>
    <x v="4"/>
    <s v="No"/>
    <n v="40437.46"/>
  </r>
  <r>
    <s v="TXN-20309"/>
    <x v="181"/>
    <x v="0"/>
    <x v="1"/>
    <x v="2"/>
    <x v="25"/>
    <n v="26.37"/>
    <x v="2"/>
    <s v="No"/>
    <n v="40411.089999999997"/>
  </r>
  <r>
    <s v="TXN-20310"/>
    <x v="182"/>
    <x v="1"/>
    <x v="1"/>
    <x v="5"/>
    <x v="9"/>
    <n v="217.15"/>
    <x v="1"/>
    <s v="Yes"/>
    <n v="40193.94"/>
  </r>
  <r>
    <s v="TXN-20311"/>
    <x v="182"/>
    <x v="1"/>
    <x v="1"/>
    <x v="2"/>
    <x v="4"/>
    <n v="38.14"/>
    <x v="4"/>
    <s v="No"/>
    <n v="40155.800000000003"/>
  </r>
  <r>
    <s v="TXN-20312"/>
    <x v="183"/>
    <x v="0"/>
    <x v="1"/>
    <x v="3"/>
    <x v="13"/>
    <n v="47.52"/>
    <x v="3"/>
    <s v="No"/>
    <n v="40108.28"/>
  </r>
  <r>
    <s v="TXN-20313"/>
    <x v="184"/>
    <x v="2"/>
    <x v="0"/>
    <x v="7"/>
    <x v="43"/>
    <n v="493.53"/>
    <x v="5"/>
    <s v="No"/>
    <n v="40601.81"/>
  </r>
  <r>
    <s v="TXN-20314"/>
    <x v="184"/>
    <x v="0"/>
    <x v="1"/>
    <x v="6"/>
    <x v="8"/>
    <n v="47.21"/>
    <x v="3"/>
    <s v="No"/>
    <n v="40554.6"/>
  </r>
  <r>
    <s v="TXN-20315"/>
    <x v="185"/>
    <x v="0"/>
    <x v="1"/>
    <x v="3"/>
    <x v="30"/>
    <n v="159.74"/>
    <x v="4"/>
    <s v="No"/>
    <n v="40394.86"/>
  </r>
  <r>
    <s v="TXN-20316"/>
    <x v="185"/>
    <x v="1"/>
    <x v="1"/>
    <x v="6"/>
    <x v="8"/>
    <n v="9.7799999999999994"/>
    <x v="3"/>
    <s v="No"/>
    <n v="40385.08"/>
  </r>
  <r>
    <s v="TXN-20317"/>
    <x v="186"/>
    <x v="0"/>
    <x v="0"/>
    <x v="0"/>
    <x v="0"/>
    <n v="4839.95"/>
    <x v="0"/>
    <s v="Yes"/>
    <n v="45225.03"/>
  </r>
  <r>
    <s v="TXN-20318"/>
    <x v="187"/>
    <x v="0"/>
    <x v="1"/>
    <x v="2"/>
    <x v="18"/>
    <n v="9.2899999999999991"/>
    <x v="3"/>
    <s v="No"/>
    <n v="45215.74"/>
  </r>
  <r>
    <s v="TXN-20319"/>
    <x v="187"/>
    <x v="0"/>
    <x v="1"/>
    <x v="4"/>
    <x v="38"/>
    <n v="58.3"/>
    <x v="4"/>
    <s v="No"/>
    <n v="45157.440000000002"/>
  </r>
  <r>
    <s v="TXN-20320"/>
    <x v="188"/>
    <x v="2"/>
    <x v="0"/>
    <x v="7"/>
    <x v="28"/>
    <n v="984.69"/>
    <x v="5"/>
    <s v="No"/>
    <n v="46142.13"/>
  </r>
  <r>
    <s v="TXN-20321"/>
    <x v="189"/>
    <x v="1"/>
    <x v="1"/>
    <x v="3"/>
    <x v="17"/>
    <n v="172.6"/>
    <x v="3"/>
    <s v="No"/>
    <n v="45969.53"/>
  </r>
  <r>
    <s v="TXN-20322"/>
    <x v="189"/>
    <x v="0"/>
    <x v="1"/>
    <x v="2"/>
    <x v="5"/>
    <n v="32.909999999999997"/>
    <x v="3"/>
    <s v="No"/>
    <n v="45936.62"/>
  </r>
  <r>
    <s v="TXN-20323"/>
    <x v="190"/>
    <x v="1"/>
    <x v="1"/>
    <x v="2"/>
    <x v="25"/>
    <n v="42.21"/>
    <x v="3"/>
    <s v="No"/>
    <n v="45894.41"/>
  </r>
  <r>
    <s v="TXN-20324"/>
    <x v="191"/>
    <x v="0"/>
    <x v="1"/>
    <x v="2"/>
    <x v="4"/>
    <n v="75.38"/>
    <x v="2"/>
    <s v="No"/>
    <n v="45819.03"/>
  </r>
  <r>
    <s v="TXN-20325"/>
    <x v="192"/>
    <x v="0"/>
    <x v="1"/>
    <x v="2"/>
    <x v="25"/>
    <n v="76.39"/>
    <x v="4"/>
    <s v="No"/>
    <n v="45742.64"/>
  </r>
  <r>
    <s v="TXN-20326"/>
    <x v="193"/>
    <x v="1"/>
    <x v="1"/>
    <x v="2"/>
    <x v="33"/>
    <n v="43.21"/>
    <x v="3"/>
    <s v="No"/>
    <n v="45699.43"/>
  </r>
  <r>
    <s v="TXN-20327"/>
    <x v="194"/>
    <x v="1"/>
    <x v="1"/>
    <x v="2"/>
    <x v="2"/>
    <n v="54.89"/>
    <x v="3"/>
    <s v="No"/>
    <n v="45644.54"/>
  </r>
  <r>
    <s v="TXN-20328"/>
    <x v="194"/>
    <x v="0"/>
    <x v="1"/>
    <x v="6"/>
    <x v="27"/>
    <n v="10.29"/>
    <x v="2"/>
    <s v="No"/>
    <n v="45634.25"/>
  </r>
  <r>
    <s v="TXN-20329"/>
    <x v="195"/>
    <x v="0"/>
    <x v="1"/>
    <x v="2"/>
    <x v="5"/>
    <n v="69.02"/>
    <x v="4"/>
    <s v="No"/>
    <n v="45565.23"/>
  </r>
  <r>
    <s v="TXN-20330"/>
    <x v="196"/>
    <x v="0"/>
    <x v="1"/>
    <x v="2"/>
    <x v="11"/>
    <n v="83.59"/>
    <x v="2"/>
    <s v="No"/>
    <n v="45481.64"/>
  </r>
  <r>
    <s v="TXN-20331"/>
    <x v="197"/>
    <x v="0"/>
    <x v="1"/>
    <x v="3"/>
    <x v="10"/>
    <n v="141.28"/>
    <x v="3"/>
    <s v="No"/>
    <n v="45340.36"/>
  </r>
  <r>
    <s v="TXN-20332"/>
    <x v="198"/>
    <x v="0"/>
    <x v="1"/>
    <x v="3"/>
    <x v="19"/>
    <n v="58.98"/>
    <x v="4"/>
    <s v="No"/>
    <n v="45281.38"/>
  </r>
  <r>
    <s v="TXN-20333"/>
    <x v="198"/>
    <x v="0"/>
    <x v="1"/>
    <x v="4"/>
    <x v="36"/>
    <n v="30.85"/>
    <x v="4"/>
    <s v="No"/>
    <n v="45250.53"/>
  </r>
  <r>
    <s v="TXN-20334"/>
    <x v="199"/>
    <x v="0"/>
    <x v="1"/>
    <x v="2"/>
    <x v="2"/>
    <n v="59.08"/>
    <x v="4"/>
    <s v="No"/>
    <n v="45191.45"/>
  </r>
  <r>
    <s v="TXN-20335"/>
    <x v="200"/>
    <x v="0"/>
    <x v="1"/>
    <x v="3"/>
    <x v="30"/>
    <n v="63.91"/>
    <x v="4"/>
    <s v="No"/>
    <n v="45127.54"/>
  </r>
  <r>
    <s v="TXN-20336"/>
    <x v="200"/>
    <x v="1"/>
    <x v="1"/>
    <x v="2"/>
    <x v="2"/>
    <n v="60.34"/>
    <x v="3"/>
    <s v="No"/>
    <n v="45067.199999999997"/>
  </r>
  <r>
    <s v="TXN-20337"/>
    <x v="200"/>
    <x v="1"/>
    <x v="1"/>
    <x v="6"/>
    <x v="12"/>
    <n v="8.15"/>
    <x v="4"/>
    <s v="No"/>
    <n v="45059.05"/>
  </r>
  <r>
    <s v="TXN-20338"/>
    <x v="201"/>
    <x v="0"/>
    <x v="0"/>
    <x v="0"/>
    <x v="0"/>
    <n v="4953.12"/>
    <x v="0"/>
    <s v="Yes"/>
    <n v="50012.17"/>
  </r>
  <r>
    <s v="TXN-20339"/>
    <x v="201"/>
    <x v="1"/>
    <x v="1"/>
    <x v="2"/>
    <x v="11"/>
    <n v="16.11"/>
    <x v="4"/>
    <s v="No"/>
    <n v="49996.06"/>
  </r>
  <r>
    <s v="TXN-20340"/>
    <x v="202"/>
    <x v="0"/>
    <x v="1"/>
    <x v="3"/>
    <x v="30"/>
    <n v="15.53"/>
    <x v="4"/>
    <s v="No"/>
    <n v="49980.53"/>
  </r>
  <r>
    <s v="TXN-20341"/>
    <x v="202"/>
    <x v="1"/>
    <x v="1"/>
    <x v="2"/>
    <x v="4"/>
    <n v="77.540000000000006"/>
    <x v="2"/>
    <s v="No"/>
    <n v="49902.99"/>
  </r>
  <r>
    <s v="TXN-20342"/>
    <x v="203"/>
    <x v="0"/>
    <x v="1"/>
    <x v="3"/>
    <x v="10"/>
    <n v="98.62"/>
    <x v="3"/>
    <s v="No"/>
    <n v="49804.37"/>
  </r>
  <r>
    <s v="TXN-20343"/>
    <x v="203"/>
    <x v="1"/>
    <x v="1"/>
    <x v="2"/>
    <x v="18"/>
    <n v="72.89"/>
    <x v="4"/>
    <s v="No"/>
    <n v="49731.48"/>
  </r>
  <r>
    <s v="TXN-20344"/>
    <x v="204"/>
    <x v="1"/>
    <x v="1"/>
    <x v="6"/>
    <x v="20"/>
    <n v="7.23"/>
    <x v="2"/>
    <s v="No"/>
    <n v="49724.25"/>
  </r>
  <r>
    <s v="TXN-20345"/>
    <x v="205"/>
    <x v="1"/>
    <x v="1"/>
    <x v="5"/>
    <x v="26"/>
    <n v="76.33"/>
    <x v="1"/>
    <s v="Yes"/>
    <n v="49647.92"/>
  </r>
  <r>
    <s v="TXN-20346"/>
    <x v="206"/>
    <x v="1"/>
    <x v="1"/>
    <x v="2"/>
    <x v="11"/>
    <n v="23.83"/>
    <x v="2"/>
    <s v="No"/>
    <n v="49624.09"/>
  </r>
  <r>
    <s v="TXN-20347"/>
    <x v="207"/>
    <x v="0"/>
    <x v="1"/>
    <x v="5"/>
    <x v="9"/>
    <n v="248.59"/>
    <x v="1"/>
    <s v="Yes"/>
    <n v="49375.5"/>
  </r>
  <r>
    <s v="TXN-20348"/>
    <x v="208"/>
    <x v="1"/>
    <x v="1"/>
    <x v="3"/>
    <x v="17"/>
    <n v="177.46"/>
    <x v="3"/>
    <s v="No"/>
    <n v="49198.04"/>
  </r>
  <r>
    <s v="TXN-20349"/>
    <x v="208"/>
    <x v="1"/>
    <x v="1"/>
    <x v="2"/>
    <x v="18"/>
    <n v="20.64"/>
    <x v="4"/>
    <s v="No"/>
    <n v="49177.4"/>
  </r>
  <r>
    <s v="TXN-20350"/>
    <x v="209"/>
    <x v="1"/>
    <x v="1"/>
    <x v="5"/>
    <x v="34"/>
    <n v="65.069999999999993"/>
    <x v="1"/>
    <s v="Yes"/>
    <n v="49112.33"/>
  </r>
  <r>
    <s v="TXN-20351"/>
    <x v="209"/>
    <x v="1"/>
    <x v="1"/>
    <x v="3"/>
    <x v="13"/>
    <n v="173.91"/>
    <x v="4"/>
    <s v="No"/>
    <n v="48938.42"/>
  </r>
  <r>
    <s v="TXN-20352"/>
    <x v="209"/>
    <x v="1"/>
    <x v="1"/>
    <x v="2"/>
    <x v="18"/>
    <n v="17.05"/>
    <x v="4"/>
    <s v="No"/>
    <n v="48921.37"/>
  </r>
  <r>
    <s v="TXN-20353"/>
    <x v="210"/>
    <x v="0"/>
    <x v="1"/>
    <x v="3"/>
    <x v="3"/>
    <n v="57.9"/>
    <x v="4"/>
    <s v="No"/>
    <n v="48863.47"/>
  </r>
  <r>
    <s v="TXN-20354"/>
    <x v="210"/>
    <x v="0"/>
    <x v="1"/>
    <x v="2"/>
    <x v="2"/>
    <n v="63.07"/>
    <x v="3"/>
    <s v="No"/>
    <n v="48800.4"/>
  </r>
  <r>
    <s v="TXN-20355"/>
    <x v="210"/>
    <x v="0"/>
    <x v="1"/>
    <x v="6"/>
    <x v="27"/>
    <n v="10.11"/>
    <x v="2"/>
    <s v="No"/>
    <n v="48790.29"/>
  </r>
  <r>
    <s v="TXN-20356"/>
    <x v="211"/>
    <x v="0"/>
    <x v="1"/>
    <x v="6"/>
    <x v="8"/>
    <n v="34.35"/>
    <x v="3"/>
    <s v="No"/>
    <n v="48755.94"/>
  </r>
  <r>
    <s v="TXN-20357"/>
    <x v="212"/>
    <x v="1"/>
    <x v="1"/>
    <x v="3"/>
    <x v="19"/>
    <n v="128.22"/>
    <x v="4"/>
    <s v="No"/>
    <n v="48627.72"/>
  </r>
  <r>
    <s v="TXN-20358"/>
    <x v="213"/>
    <x v="0"/>
    <x v="1"/>
    <x v="2"/>
    <x v="4"/>
    <n v="38.71"/>
    <x v="4"/>
    <s v="No"/>
    <n v="48589.01"/>
  </r>
  <r>
    <s v="TXN-20359"/>
    <x v="214"/>
    <x v="1"/>
    <x v="1"/>
    <x v="3"/>
    <x v="13"/>
    <n v="155.47999999999999"/>
    <x v="3"/>
    <s v="No"/>
    <n v="48433.53"/>
  </r>
  <r>
    <s v="TXN-20360"/>
    <x v="214"/>
    <x v="1"/>
    <x v="1"/>
    <x v="2"/>
    <x v="33"/>
    <n v="33.090000000000003"/>
    <x v="3"/>
    <s v="No"/>
    <n v="48400.44"/>
  </r>
  <r>
    <s v="TXN-20361"/>
    <x v="215"/>
    <x v="0"/>
    <x v="1"/>
    <x v="3"/>
    <x v="3"/>
    <n v="77.63"/>
    <x v="3"/>
    <s v="No"/>
    <n v="48322.81"/>
  </r>
  <r>
    <s v="TXN-20362"/>
    <x v="215"/>
    <x v="1"/>
    <x v="1"/>
    <x v="6"/>
    <x v="8"/>
    <n v="45.91"/>
    <x v="3"/>
    <s v="No"/>
    <n v="48276.9"/>
  </r>
  <r>
    <s v="TXN-20363"/>
    <x v="215"/>
    <x v="0"/>
    <x v="1"/>
    <x v="4"/>
    <x v="36"/>
    <n v="71"/>
    <x v="4"/>
    <s v="No"/>
    <n v="48205.9"/>
  </r>
  <r>
    <s v="TXN-20364"/>
    <x v="216"/>
    <x v="1"/>
    <x v="1"/>
    <x v="6"/>
    <x v="27"/>
    <n v="36.49"/>
    <x v="4"/>
    <s v="No"/>
    <n v="48169.41"/>
  </r>
  <r>
    <s v="TXN-20365"/>
    <x v="217"/>
    <x v="0"/>
    <x v="1"/>
    <x v="2"/>
    <x v="4"/>
    <n v="76.03"/>
    <x v="2"/>
    <s v="No"/>
    <n v="48093.38"/>
  </r>
  <r>
    <s v="TXN-20366"/>
    <x v="218"/>
    <x v="0"/>
    <x v="1"/>
    <x v="2"/>
    <x v="11"/>
    <n v="22.99"/>
    <x v="3"/>
    <s v="No"/>
    <n v="48070.39"/>
  </r>
  <r>
    <s v="TXN-20367"/>
    <x v="218"/>
    <x v="0"/>
    <x v="1"/>
    <x v="6"/>
    <x v="23"/>
    <n v="48.57"/>
    <x v="3"/>
    <s v="No"/>
    <n v="48021.82"/>
  </r>
  <r>
    <s v="TXN-20368"/>
    <x v="219"/>
    <x v="1"/>
    <x v="1"/>
    <x v="3"/>
    <x v="13"/>
    <n v="62.19"/>
    <x v="4"/>
    <s v="No"/>
    <n v="47959.63"/>
  </r>
  <r>
    <s v="TXN-20369"/>
    <x v="219"/>
    <x v="1"/>
    <x v="1"/>
    <x v="2"/>
    <x v="25"/>
    <n v="53.33"/>
    <x v="2"/>
    <s v="No"/>
    <n v="47906.3"/>
  </r>
  <r>
    <s v="TXN-20370"/>
    <x v="220"/>
    <x v="1"/>
    <x v="1"/>
    <x v="2"/>
    <x v="33"/>
    <n v="41.35"/>
    <x v="2"/>
    <s v="No"/>
    <n v="47864.95"/>
  </r>
  <r>
    <s v="TXN-20371"/>
    <x v="221"/>
    <x v="1"/>
    <x v="1"/>
    <x v="3"/>
    <x v="29"/>
    <n v="101.17"/>
    <x v="4"/>
    <s v="No"/>
    <n v="47763.78"/>
  </r>
  <r>
    <s v="TXN-20372"/>
    <x v="221"/>
    <x v="1"/>
    <x v="1"/>
    <x v="2"/>
    <x v="18"/>
    <n v="52.76"/>
    <x v="3"/>
    <s v="No"/>
    <n v="47711.02"/>
  </r>
  <r>
    <s v="TXN-20373"/>
    <x v="221"/>
    <x v="1"/>
    <x v="1"/>
    <x v="6"/>
    <x v="12"/>
    <n v="9.0299999999999994"/>
    <x v="2"/>
    <s v="No"/>
    <n v="47701.99"/>
  </r>
  <r>
    <s v="TXN-20374"/>
    <x v="222"/>
    <x v="0"/>
    <x v="0"/>
    <x v="7"/>
    <x v="42"/>
    <n v="519.30999999999995"/>
    <x v="6"/>
    <s v="No"/>
    <n v="48221.3"/>
  </r>
  <r>
    <s v="TXN-20375"/>
    <x v="223"/>
    <x v="0"/>
    <x v="1"/>
    <x v="6"/>
    <x v="27"/>
    <n v="32.26"/>
    <x v="3"/>
    <s v="No"/>
    <n v="48189.04"/>
  </r>
  <r>
    <s v="TXN-20376"/>
    <x v="223"/>
    <x v="1"/>
    <x v="1"/>
    <x v="4"/>
    <x v="37"/>
    <n v="11.67"/>
    <x v="3"/>
    <s v="No"/>
    <n v="48177.37"/>
  </r>
  <r>
    <s v="TXN-20377"/>
    <x v="224"/>
    <x v="0"/>
    <x v="0"/>
    <x v="0"/>
    <x v="40"/>
    <n v="3865.31"/>
    <x v="0"/>
    <s v="Yes"/>
    <n v="52042.68"/>
  </r>
  <r>
    <s v="TXN-20378"/>
    <x v="224"/>
    <x v="0"/>
    <x v="1"/>
    <x v="1"/>
    <x v="39"/>
    <n v="1782.99"/>
    <x v="1"/>
    <s v="Yes"/>
    <n v="50259.69"/>
  </r>
  <r>
    <s v="TXN-20379"/>
    <x v="224"/>
    <x v="0"/>
    <x v="1"/>
    <x v="6"/>
    <x v="8"/>
    <n v="20.29"/>
    <x v="4"/>
    <s v="No"/>
    <n v="50239.4"/>
  </r>
  <r>
    <s v="TXN-20380"/>
    <x v="225"/>
    <x v="0"/>
    <x v="1"/>
    <x v="3"/>
    <x v="13"/>
    <n v="46.25"/>
    <x v="4"/>
    <s v="No"/>
    <n v="50193.15"/>
  </r>
  <r>
    <s v="TXN-20381"/>
    <x v="226"/>
    <x v="0"/>
    <x v="1"/>
    <x v="3"/>
    <x v="13"/>
    <n v="150.05000000000001"/>
    <x v="3"/>
    <s v="No"/>
    <n v="50043.1"/>
  </r>
  <r>
    <s v="TXN-20382"/>
    <x v="226"/>
    <x v="1"/>
    <x v="1"/>
    <x v="2"/>
    <x v="25"/>
    <n v="78.989999999999995"/>
    <x v="2"/>
    <s v="No"/>
    <n v="49964.11"/>
  </r>
  <r>
    <s v="TXN-20383"/>
    <x v="227"/>
    <x v="0"/>
    <x v="1"/>
    <x v="3"/>
    <x v="17"/>
    <n v="28.42"/>
    <x v="3"/>
    <s v="No"/>
    <n v="49935.69"/>
  </r>
  <r>
    <s v="TXN-20384"/>
    <x v="228"/>
    <x v="1"/>
    <x v="1"/>
    <x v="6"/>
    <x v="27"/>
    <n v="24.02"/>
    <x v="3"/>
    <s v="No"/>
    <n v="49911.67"/>
  </r>
  <r>
    <s v="TXN-20385"/>
    <x v="229"/>
    <x v="0"/>
    <x v="1"/>
    <x v="2"/>
    <x v="11"/>
    <n v="41.44"/>
    <x v="2"/>
    <s v="No"/>
    <n v="49870.23"/>
  </r>
  <r>
    <s v="TXN-20386"/>
    <x v="229"/>
    <x v="1"/>
    <x v="1"/>
    <x v="6"/>
    <x v="8"/>
    <n v="30.27"/>
    <x v="3"/>
    <s v="No"/>
    <n v="49839.96"/>
  </r>
  <r>
    <s v="TXN-20387"/>
    <x v="229"/>
    <x v="1"/>
    <x v="1"/>
    <x v="4"/>
    <x v="38"/>
    <n v="37.22"/>
    <x v="3"/>
    <s v="No"/>
    <n v="49802.74"/>
  </r>
  <r>
    <s v="TXN-20388"/>
    <x v="230"/>
    <x v="0"/>
    <x v="1"/>
    <x v="2"/>
    <x v="11"/>
    <n v="73.06"/>
    <x v="4"/>
    <s v="No"/>
    <n v="49729.68"/>
  </r>
  <r>
    <s v="TXN-20389"/>
    <x v="231"/>
    <x v="1"/>
    <x v="1"/>
    <x v="5"/>
    <x v="26"/>
    <n v="240.31"/>
    <x v="1"/>
    <s v="Yes"/>
    <n v="49489.37"/>
  </r>
  <r>
    <s v="TXN-20390"/>
    <x v="231"/>
    <x v="0"/>
    <x v="1"/>
    <x v="3"/>
    <x v="19"/>
    <n v="93.06"/>
    <x v="4"/>
    <s v="No"/>
    <n v="49396.31"/>
  </r>
  <r>
    <s v="TXN-20391"/>
    <x v="231"/>
    <x v="1"/>
    <x v="1"/>
    <x v="2"/>
    <x v="31"/>
    <n v="28.31"/>
    <x v="3"/>
    <s v="No"/>
    <n v="49368"/>
  </r>
  <r>
    <s v="TXN-20392"/>
    <x v="231"/>
    <x v="1"/>
    <x v="1"/>
    <x v="6"/>
    <x v="16"/>
    <n v="58.2"/>
    <x v="3"/>
    <s v="No"/>
    <n v="49309.8"/>
  </r>
  <r>
    <s v="TXN-20393"/>
    <x v="232"/>
    <x v="1"/>
    <x v="1"/>
    <x v="6"/>
    <x v="12"/>
    <n v="50.71"/>
    <x v="3"/>
    <s v="No"/>
    <n v="49259.09"/>
  </r>
  <r>
    <s v="TXN-20394"/>
    <x v="233"/>
    <x v="0"/>
    <x v="1"/>
    <x v="5"/>
    <x v="41"/>
    <n v="231.55"/>
    <x v="1"/>
    <s v="Yes"/>
    <n v="49027.54"/>
  </r>
  <r>
    <s v="TXN-20395"/>
    <x v="233"/>
    <x v="1"/>
    <x v="1"/>
    <x v="3"/>
    <x v="13"/>
    <n v="55.5"/>
    <x v="3"/>
    <s v="No"/>
    <n v="48972.04"/>
  </r>
  <r>
    <s v="TXN-20396"/>
    <x v="233"/>
    <x v="0"/>
    <x v="1"/>
    <x v="4"/>
    <x v="36"/>
    <n v="48.87"/>
    <x v="4"/>
    <s v="No"/>
    <n v="48923.17"/>
  </r>
  <r>
    <s v="TXN-20397"/>
    <x v="234"/>
    <x v="0"/>
    <x v="1"/>
    <x v="2"/>
    <x v="4"/>
    <n v="62.19"/>
    <x v="2"/>
    <s v="No"/>
    <n v="48860.98"/>
  </r>
  <r>
    <s v="TXN-20398"/>
    <x v="235"/>
    <x v="1"/>
    <x v="1"/>
    <x v="6"/>
    <x v="14"/>
    <n v="11.78"/>
    <x v="3"/>
    <s v="No"/>
    <n v="48849.2"/>
  </r>
  <r>
    <s v="TXN-20399"/>
    <x v="235"/>
    <x v="0"/>
    <x v="1"/>
    <x v="4"/>
    <x v="37"/>
    <n v="22.07"/>
    <x v="4"/>
    <s v="No"/>
    <n v="48827.13"/>
  </r>
  <r>
    <s v="TXN-20400"/>
    <x v="236"/>
    <x v="1"/>
    <x v="1"/>
    <x v="6"/>
    <x v="12"/>
    <n v="23.81"/>
    <x v="4"/>
    <s v="No"/>
    <n v="48803.32"/>
  </r>
  <r>
    <s v="TXN-20401"/>
    <x v="237"/>
    <x v="1"/>
    <x v="1"/>
    <x v="2"/>
    <x v="31"/>
    <n v="52.66"/>
    <x v="2"/>
    <s v="No"/>
    <n v="48750.66"/>
  </r>
  <r>
    <s v="TXN-20402"/>
    <x v="237"/>
    <x v="0"/>
    <x v="1"/>
    <x v="6"/>
    <x v="14"/>
    <n v="5.8"/>
    <x v="2"/>
    <s v="No"/>
    <n v="48744.86"/>
  </r>
  <r>
    <s v="TXN-20403"/>
    <x v="238"/>
    <x v="1"/>
    <x v="1"/>
    <x v="3"/>
    <x v="13"/>
    <n v="100.52"/>
    <x v="4"/>
    <s v="No"/>
    <n v="48644.34"/>
  </r>
  <r>
    <s v="TXN-20404"/>
    <x v="238"/>
    <x v="1"/>
    <x v="1"/>
    <x v="6"/>
    <x v="27"/>
    <n v="56.23"/>
    <x v="2"/>
    <s v="No"/>
    <n v="48588.11"/>
  </r>
  <r>
    <s v="TXN-20405"/>
    <x v="239"/>
    <x v="1"/>
    <x v="1"/>
    <x v="3"/>
    <x v="30"/>
    <n v="60.63"/>
    <x v="4"/>
    <s v="No"/>
    <n v="48527.48"/>
  </r>
  <r>
    <s v="TXN-20406"/>
    <x v="240"/>
    <x v="2"/>
    <x v="0"/>
    <x v="7"/>
    <x v="42"/>
    <n v="1006.75"/>
    <x v="5"/>
    <s v="No"/>
    <n v="49534.23"/>
  </r>
  <r>
    <s v="TXN-20407"/>
    <x v="240"/>
    <x v="0"/>
    <x v="1"/>
    <x v="6"/>
    <x v="8"/>
    <n v="55.84"/>
    <x v="4"/>
    <s v="No"/>
    <n v="49478.39"/>
  </r>
  <r>
    <s v="TXN-20408"/>
    <x v="241"/>
    <x v="1"/>
    <x v="1"/>
    <x v="6"/>
    <x v="23"/>
    <n v="35.56"/>
    <x v="3"/>
    <s v="No"/>
    <n v="49442.83"/>
  </r>
  <r>
    <s v="TXN-20409"/>
    <x v="242"/>
    <x v="0"/>
    <x v="1"/>
    <x v="3"/>
    <x v="30"/>
    <n v="143.22"/>
    <x v="3"/>
    <s v="No"/>
    <n v="49299.61"/>
  </r>
  <r>
    <s v="TXN-20410"/>
    <x v="243"/>
    <x v="1"/>
    <x v="1"/>
    <x v="6"/>
    <x v="12"/>
    <n v="42.3"/>
    <x v="2"/>
    <s v="No"/>
    <n v="49257.31"/>
  </r>
  <r>
    <s v="TXN-20411"/>
    <x v="243"/>
    <x v="1"/>
    <x v="1"/>
    <x v="4"/>
    <x v="36"/>
    <n v="95.85"/>
    <x v="3"/>
    <s v="No"/>
    <n v="49161.46"/>
  </r>
  <r>
    <s v="TXN-20412"/>
    <x v="244"/>
    <x v="0"/>
    <x v="1"/>
    <x v="2"/>
    <x v="31"/>
    <n v="72.97"/>
    <x v="4"/>
    <s v="No"/>
    <n v="49088.49"/>
  </r>
  <r>
    <s v="TXN-20413"/>
    <x v="245"/>
    <x v="0"/>
    <x v="0"/>
    <x v="7"/>
    <x v="32"/>
    <n v="1492.01"/>
    <x v="5"/>
    <s v="No"/>
    <n v="50580.5"/>
  </r>
  <r>
    <s v="TXN-20414"/>
    <x v="245"/>
    <x v="0"/>
    <x v="1"/>
    <x v="6"/>
    <x v="27"/>
    <n v="33.729999999999997"/>
    <x v="3"/>
    <s v="No"/>
    <n v="50546.77"/>
  </r>
  <r>
    <s v="TXN-20415"/>
    <x v="246"/>
    <x v="1"/>
    <x v="1"/>
    <x v="3"/>
    <x v="13"/>
    <n v="64.489999999999995"/>
    <x v="3"/>
    <s v="No"/>
    <n v="50482.28"/>
  </r>
  <r>
    <s v="TXN-20416"/>
    <x v="246"/>
    <x v="0"/>
    <x v="1"/>
    <x v="2"/>
    <x v="25"/>
    <n v="46.86"/>
    <x v="3"/>
    <s v="No"/>
    <n v="50435.42"/>
  </r>
  <r>
    <s v="TXN-20417"/>
    <x v="246"/>
    <x v="0"/>
    <x v="1"/>
    <x v="4"/>
    <x v="35"/>
    <n v="16.739999999999998"/>
    <x v="3"/>
    <s v="No"/>
    <n v="50418.68"/>
  </r>
  <r>
    <s v="TXN-20418"/>
    <x v="247"/>
    <x v="0"/>
    <x v="1"/>
    <x v="3"/>
    <x v="13"/>
    <n v="51.42"/>
    <x v="4"/>
    <s v="No"/>
    <n v="50367.26"/>
  </r>
  <r>
    <s v="TXN-20419"/>
    <x v="248"/>
    <x v="0"/>
    <x v="1"/>
    <x v="6"/>
    <x v="16"/>
    <n v="54.48"/>
    <x v="2"/>
    <s v="No"/>
    <n v="50312.78"/>
  </r>
  <r>
    <s v="TXN-20420"/>
    <x v="249"/>
    <x v="1"/>
    <x v="1"/>
    <x v="3"/>
    <x v="13"/>
    <n v="39.020000000000003"/>
    <x v="4"/>
    <s v="No"/>
    <n v="50273.760000000002"/>
  </r>
  <r>
    <s v="TXN-20421"/>
    <x v="249"/>
    <x v="0"/>
    <x v="1"/>
    <x v="4"/>
    <x v="22"/>
    <n v="91.91"/>
    <x v="4"/>
    <s v="No"/>
    <n v="50181.85"/>
  </r>
  <r>
    <s v="TXN-20422"/>
    <x v="250"/>
    <x v="1"/>
    <x v="1"/>
    <x v="6"/>
    <x v="27"/>
    <n v="23.67"/>
    <x v="4"/>
    <s v="No"/>
    <n v="50158.18"/>
  </r>
  <r>
    <s v="TXN-20423"/>
    <x v="251"/>
    <x v="0"/>
    <x v="1"/>
    <x v="3"/>
    <x v="10"/>
    <n v="22.16"/>
    <x v="3"/>
    <s v="No"/>
    <n v="50136.02"/>
  </r>
  <r>
    <s v="TXN-20424"/>
    <x v="252"/>
    <x v="0"/>
    <x v="1"/>
    <x v="1"/>
    <x v="24"/>
    <n v="1207.56"/>
    <x v="1"/>
    <s v="Yes"/>
    <n v="48928.46"/>
  </r>
  <r>
    <s v="TXN-20425"/>
    <x v="252"/>
    <x v="1"/>
    <x v="1"/>
    <x v="3"/>
    <x v="29"/>
    <n v="22.7"/>
    <x v="3"/>
    <s v="No"/>
    <n v="48905.760000000002"/>
  </r>
  <r>
    <s v="TXN-20426"/>
    <x v="252"/>
    <x v="0"/>
    <x v="1"/>
    <x v="4"/>
    <x v="37"/>
    <n v="94.15"/>
    <x v="4"/>
    <s v="No"/>
    <n v="48811.61"/>
  </r>
  <r>
    <s v="TXN-20427"/>
    <x v="253"/>
    <x v="0"/>
    <x v="1"/>
    <x v="3"/>
    <x v="19"/>
    <n v="67.14"/>
    <x v="3"/>
    <s v="No"/>
    <n v="48744.47"/>
  </r>
  <r>
    <s v="TXN-20428"/>
    <x v="254"/>
    <x v="1"/>
    <x v="1"/>
    <x v="3"/>
    <x v="17"/>
    <n v="83.08"/>
    <x v="3"/>
    <s v="No"/>
    <n v="48661.39"/>
  </r>
  <r>
    <s v="TXN-20429"/>
    <x v="254"/>
    <x v="0"/>
    <x v="1"/>
    <x v="2"/>
    <x v="18"/>
    <n v="82.38"/>
    <x v="2"/>
    <s v="No"/>
    <n v="48579.01"/>
  </r>
  <r>
    <s v="TXN-20430"/>
    <x v="254"/>
    <x v="0"/>
    <x v="1"/>
    <x v="6"/>
    <x v="12"/>
    <n v="51.54"/>
    <x v="2"/>
    <s v="No"/>
    <n v="48527.47"/>
  </r>
  <r>
    <s v="TXN-20431"/>
    <x v="255"/>
    <x v="2"/>
    <x v="0"/>
    <x v="7"/>
    <x v="28"/>
    <n v="897.78"/>
    <x v="5"/>
    <s v="No"/>
    <n v="49425.25"/>
  </r>
  <r>
    <s v="TXN-20432"/>
    <x v="255"/>
    <x v="1"/>
    <x v="1"/>
    <x v="2"/>
    <x v="31"/>
    <n v="20.2"/>
    <x v="4"/>
    <s v="No"/>
    <n v="49405.05"/>
  </r>
  <r>
    <s v="TXN-20433"/>
    <x v="256"/>
    <x v="1"/>
    <x v="1"/>
    <x v="3"/>
    <x v="17"/>
    <n v="117.4"/>
    <x v="4"/>
    <s v="No"/>
    <n v="49287.65"/>
  </r>
  <r>
    <s v="TXN-20434"/>
    <x v="257"/>
    <x v="1"/>
    <x v="1"/>
    <x v="3"/>
    <x v="30"/>
    <n v="112.35"/>
    <x v="4"/>
    <s v="No"/>
    <n v="49175.3"/>
  </r>
  <r>
    <s v="TXN-20435"/>
    <x v="257"/>
    <x v="0"/>
    <x v="1"/>
    <x v="2"/>
    <x v="18"/>
    <n v="73.430000000000007"/>
    <x v="3"/>
    <s v="No"/>
    <n v="49101.87"/>
  </r>
  <r>
    <s v="TXN-20436"/>
    <x v="257"/>
    <x v="1"/>
    <x v="1"/>
    <x v="6"/>
    <x v="27"/>
    <n v="5.93"/>
    <x v="2"/>
    <s v="No"/>
    <n v="49095.94"/>
  </r>
  <r>
    <s v="TXN-20437"/>
    <x v="258"/>
    <x v="0"/>
    <x v="1"/>
    <x v="3"/>
    <x v="3"/>
    <n v="122.48"/>
    <x v="4"/>
    <s v="No"/>
    <n v="48973.46"/>
  </r>
  <r>
    <s v="TXN-20438"/>
    <x v="259"/>
    <x v="0"/>
    <x v="1"/>
    <x v="5"/>
    <x v="34"/>
    <n v="239.41"/>
    <x v="1"/>
    <s v="Yes"/>
    <n v="48734.05"/>
  </r>
  <r>
    <s v="TXN-20439"/>
    <x v="260"/>
    <x v="0"/>
    <x v="1"/>
    <x v="4"/>
    <x v="37"/>
    <n v="28.47"/>
    <x v="4"/>
    <s v="No"/>
    <n v="48705.58"/>
  </r>
  <r>
    <s v="TXN-20440"/>
    <x v="261"/>
    <x v="1"/>
    <x v="1"/>
    <x v="2"/>
    <x v="2"/>
    <n v="48.04"/>
    <x v="3"/>
    <s v="No"/>
    <n v="48657.54"/>
  </r>
  <r>
    <s v="TXN-20441"/>
    <x v="262"/>
    <x v="0"/>
    <x v="0"/>
    <x v="0"/>
    <x v="0"/>
    <n v="4515.47"/>
    <x v="0"/>
    <s v="Yes"/>
    <n v="53173.01"/>
  </r>
  <r>
    <s v="TXN-20442"/>
    <x v="262"/>
    <x v="1"/>
    <x v="1"/>
    <x v="6"/>
    <x v="27"/>
    <n v="26.48"/>
    <x v="4"/>
    <s v="No"/>
    <n v="53146.53"/>
  </r>
  <r>
    <s v="TXN-20443"/>
    <x v="263"/>
    <x v="2"/>
    <x v="0"/>
    <x v="7"/>
    <x v="28"/>
    <n v="337.31"/>
    <x v="5"/>
    <s v="No"/>
    <n v="53483.839999999997"/>
  </r>
  <r>
    <s v="TXN-20444"/>
    <x v="264"/>
    <x v="1"/>
    <x v="1"/>
    <x v="2"/>
    <x v="31"/>
    <n v="38.67"/>
    <x v="2"/>
    <s v="No"/>
    <n v="53445.17"/>
  </r>
  <r>
    <s v="TXN-20445"/>
    <x v="264"/>
    <x v="0"/>
    <x v="1"/>
    <x v="4"/>
    <x v="6"/>
    <n v="93.02"/>
    <x v="3"/>
    <s v="No"/>
    <n v="53352.15"/>
  </r>
  <r>
    <s v="TXN-20446"/>
    <x v="265"/>
    <x v="0"/>
    <x v="0"/>
    <x v="7"/>
    <x v="43"/>
    <n v="1428.39"/>
    <x v="6"/>
    <s v="No"/>
    <n v="54780.54"/>
  </r>
  <r>
    <s v="TXN-20447"/>
    <x v="266"/>
    <x v="1"/>
    <x v="1"/>
    <x v="2"/>
    <x v="33"/>
    <n v="78.88"/>
    <x v="4"/>
    <s v="No"/>
    <n v="54701.66"/>
  </r>
  <r>
    <s v="TXN-20448"/>
    <x v="266"/>
    <x v="0"/>
    <x v="1"/>
    <x v="6"/>
    <x v="23"/>
    <n v="55.61"/>
    <x v="4"/>
    <s v="No"/>
    <n v="54646.05"/>
  </r>
  <r>
    <s v="TXN-20449"/>
    <x v="267"/>
    <x v="1"/>
    <x v="1"/>
    <x v="3"/>
    <x v="19"/>
    <n v="154.38"/>
    <x v="4"/>
    <s v="No"/>
    <n v="54491.67"/>
  </r>
  <r>
    <s v="TXN-20450"/>
    <x v="267"/>
    <x v="0"/>
    <x v="1"/>
    <x v="4"/>
    <x v="36"/>
    <n v="90.65"/>
    <x v="3"/>
    <s v="No"/>
    <n v="54401.02"/>
  </r>
  <r>
    <s v="TXN-20451"/>
    <x v="268"/>
    <x v="1"/>
    <x v="1"/>
    <x v="4"/>
    <x v="15"/>
    <n v="27.2"/>
    <x v="4"/>
    <s v="No"/>
    <n v="54373.82"/>
  </r>
  <r>
    <s v="TXN-20452"/>
    <x v="269"/>
    <x v="0"/>
    <x v="1"/>
    <x v="2"/>
    <x v="11"/>
    <n v="52.51"/>
    <x v="3"/>
    <s v="No"/>
    <n v="54321.31"/>
  </r>
  <r>
    <s v="TXN-20453"/>
    <x v="269"/>
    <x v="1"/>
    <x v="1"/>
    <x v="6"/>
    <x v="8"/>
    <n v="49.46"/>
    <x v="4"/>
    <s v="No"/>
    <n v="54271.85"/>
  </r>
  <r>
    <s v="TXN-20454"/>
    <x v="270"/>
    <x v="1"/>
    <x v="1"/>
    <x v="3"/>
    <x v="13"/>
    <n v="134.52000000000001"/>
    <x v="4"/>
    <s v="No"/>
    <n v="54137.33"/>
  </r>
  <r>
    <s v="TXN-20455"/>
    <x v="271"/>
    <x v="0"/>
    <x v="1"/>
    <x v="3"/>
    <x v="3"/>
    <n v="85.7"/>
    <x v="4"/>
    <s v="No"/>
    <n v="54051.63"/>
  </r>
  <r>
    <s v="TXN-20456"/>
    <x v="271"/>
    <x v="1"/>
    <x v="1"/>
    <x v="4"/>
    <x v="37"/>
    <n v="84.77"/>
    <x v="4"/>
    <s v="No"/>
    <n v="53966.86"/>
  </r>
  <r>
    <s v="TXN-20457"/>
    <x v="272"/>
    <x v="0"/>
    <x v="1"/>
    <x v="2"/>
    <x v="11"/>
    <n v="31.4"/>
    <x v="2"/>
    <s v="No"/>
    <n v="53935.46"/>
  </r>
  <r>
    <s v="TXN-20458"/>
    <x v="273"/>
    <x v="1"/>
    <x v="1"/>
    <x v="3"/>
    <x v="3"/>
    <n v="15.59"/>
    <x v="4"/>
    <s v="No"/>
    <n v="53919.87"/>
  </r>
  <r>
    <s v="TXN-20459"/>
    <x v="274"/>
    <x v="0"/>
    <x v="0"/>
    <x v="0"/>
    <x v="0"/>
    <n v="4998.5600000000004"/>
    <x v="0"/>
    <s v="Yes"/>
    <n v="58918.43"/>
  </r>
  <r>
    <s v="TXN-20460"/>
    <x v="274"/>
    <x v="0"/>
    <x v="1"/>
    <x v="1"/>
    <x v="39"/>
    <n v="2186"/>
    <x v="1"/>
    <s v="Yes"/>
    <n v="56732.43"/>
  </r>
  <r>
    <s v="TXN-20461"/>
    <x v="274"/>
    <x v="1"/>
    <x v="1"/>
    <x v="6"/>
    <x v="14"/>
    <n v="57.34"/>
    <x v="2"/>
    <s v="No"/>
    <n v="56675.09"/>
  </r>
  <r>
    <s v="TXN-20462"/>
    <x v="274"/>
    <x v="1"/>
    <x v="1"/>
    <x v="4"/>
    <x v="35"/>
    <n v="35.840000000000003"/>
    <x v="4"/>
    <s v="No"/>
    <n v="56639.25"/>
  </r>
  <r>
    <s v="TXN-20463"/>
    <x v="275"/>
    <x v="1"/>
    <x v="1"/>
    <x v="6"/>
    <x v="12"/>
    <n v="33.22"/>
    <x v="3"/>
    <s v="No"/>
    <n v="56606.03"/>
  </r>
  <r>
    <s v="TXN-20464"/>
    <x v="276"/>
    <x v="0"/>
    <x v="1"/>
    <x v="6"/>
    <x v="12"/>
    <n v="34.96"/>
    <x v="4"/>
    <s v="No"/>
    <n v="56571.07"/>
  </r>
  <r>
    <s v="TXN-20465"/>
    <x v="277"/>
    <x v="0"/>
    <x v="1"/>
    <x v="6"/>
    <x v="23"/>
    <n v="40.229999999999997"/>
    <x v="3"/>
    <s v="No"/>
    <n v="56530.84"/>
  </r>
  <r>
    <s v="TXN-20466"/>
    <x v="277"/>
    <x v="0"/>
    <x v="1"/>
    <x v="4"/>
    <x v="38"/>
    <n v="53.02"/>
    <x v="3"/>
    <s v="No"/>
    <n v="56477.82"/>
  </r>
  <r>
    <s v="TXN-20467"/>
    <x v="278"/>
    <x v="1"/>
    <x v="1"/>
    <x v="3"/>
    <x v="19"/>
    <n v="136.35"/>
    <x v="3"/>
    <s v="No"/>
    <n v="56341.47"/>
  </r>
  <r>
    <s v="TXN-20468"/>
    <x v="279"/>
    <x v="0"/>
    <x v="1"/>
    <x v="6"/>
    <x v="16"/>
    <n v="14.66"/>
    <x v="4"/>
    <s v="No"/>
    <n v="56326.81"/>
  </r>
  <r>
    <s v="TXN-20469"/>
    <x v="279"/>
    <x v="1"/>
    <x v="1"/>
    <x v="4"/>
    <x v="36"/>
    <n v="19.36"/>
    <x v="4"/>
    <s v="No"/>
    <n v="56307.45"/>
  </r>
  <r>
    <s v="TXN-20470"/>
    <x v="280"/>
    <x v="1"/>
    <x v="1"/>
    <x v="5"/>
    <x v="7"/>
    <n v="116.52"/>
    <x v="1"/>
    <s v="Yes"/>
    <n v="56190.93"/>
  </r>
  <r>
    <s v="TXN-20471"/>
    <x v="280"/>
    <x v="0"/>
    <x v="1"/>
    <x v="3"/>
    <x v="29"/>
    <n v="35.56"/>
    <x v="3"/>
    <s v="No"/>
    <n v="56155.37"/>
  </r>
  <r>
    <s v="TXN-20472"/>
    <x v="280"/>
    <x v="0"/>
    <x v="1"/>
    <x v="2"/>
    <x v="21"/>
    <n v="27.25"/>
    <x v="4"/>
    <s v="No"/>
    <n v="56128.12"/>
  </r>
  <r>
    <s v="TXN-20473"/>
    <x v="281"/>
    <x v="0"/>
    <x v="1"/>
    <x v="2"/>
    <x v="31"/>
    <n v="37.840000000000003"/>
    <x v="4"/>
    <s v="No"/>
    <n v="56090.28"/>
  </r>
  <r>
    <s v="TXN-20474"/>
    <x v="282"/>
    <x v="1"/>
    <x v="1"/>
    <x v="5"/>
    <x v="26"/>
    <n v="66.36"/>
    <x v="1"/>
    <s v="Yes"/>
    <n v="56023.92"/>
  </r>
  <r>
    <s v="TXN-20475"/>
    <x v="283"/>
    <x v="0"/>
    <x v="1"/>
    <x v="3"/>
    <x v="19"/>
    <n v="102.62"/>
    <x v="3"/>
    <s v="No"/>
    <n v="55921.3"/>
  </r>
  <r>
    <s v="TXN-20476"/>
    <x v="284"/>
    <x v="0"/>
    <x v="1"/>
    <x v="6"/>
    <x v="8"/>
    <n v="7.86"/>
    <x v="4"/>
    <s v="No"/>
    <n v="55913.440000000002"/>
  </r>
  <r>
    <s v="TXN-20477"/>
    <x v="285"/>
    <x v="1"/>
    <x v="1"/>
    <x v="3"/>
    <x v="10"/>
    <n v="72.02"/>
    <x v="4"/>
    <s v="No"/>
    <n v="55841.42"/>
  </r>
  <r>
    <s v="TXN-20478"/>
    <x v="285"/>
    <x v="1"/>
    <x v="1"/>
    <x v="2"/>
    <x v="25"/>
    <n v="69"/>
    <x v="2"/>
    <s v="No"/>
    <n v="55772.42"/>
  </r>
  <r>
    <s v="TXN-20479"/>
    <x v="286"/>
    <x v="0"/>
    <x v="1"/>
    <x v="3"/>
    <x v="13"/>
    <n v="71.73"/>
    <x v="3"/>
    <s v="No"/>
    <n v="55700.69"/>
  </r>
  <r>
    <s v="TXN-20480"/>
    <x v="286"/>
    <x v="0"/>
    <x v="1"/>
    <x v="2"/>
    <x v="5"/>
    <n v="41.13"/>
    <x v="4"/>
    <s v="No"/>
    <n v="55659.56"/>
  </r>
  <r>
    <s v="TXN-20481"/>
    <x v="287"/>
    <x v="0"/>
    <x v="0"/>
    <x v="0"/>
    <x v="40"/>
    <n v="4217.41"/>
    <x v="0"/>
    <s v="Yes"/>
    <n v="59876.97"/>
  </r>
  <r>
    <s v="TXN-20482"/>
    <x v="287"/>
    <x v="1"/>
    <x v="1"/>
    <x v="3"/>
    <x v="17"/>
    <n v="136.25"/>
    <x v="3"/>
    <s v="No"/>
    <n v="59740.72"/>
  </r>
  <r>
    <s v="TXN-20483"/>
    <x v="288"/>
    <x v="0"/>
    <x v="1"/>
    <x v="3"/>
    <x v="29"/>
    <n v="162.16"/>
    <x v="3"/>
    <s v="No"/>
    <n v="59578.559999999998"/>
  </r>
  <r>
    <s v="TXN-20484"/>
    <x v="289"/>
    <x v="0"/>
    <x v="1"/>
    <x v="3"/>
    <x v="19"/>
    <n v="73.709999999999994"/>
    <x v="3"/>
    <s v="No"/>
    <n v="59504.85"/>
  </r>
  <r>
    <s v="TXN-20485"/>
    <x v="290"/>
    <x v="1"/>
    <x v="1"/>
    <x v="3"/>
    <x v="13"/>
    <n v="56.34"/>
    <x v="4"/>
    <s v="No"/>
    <n v="59448.51"/>
  </r>
  <r>
    <s v="TXN-20486"/>
    <x v="291"/>
    <x v="1"/>
    <x v="1"/>
    <x v="3"/>
    <x v="10"/>
    <n v="30.76"/>
    <x v="3"/>
    <s v="No"/>
    <n v="59417.75"/>
  </r>
  <r>
    <s v="TXN-20487"/>
    <x v="292"/>
    <x v="0"/>
    <x v="0"/>
    <x v="7"/>
    <x v="32"/>
    <n v="657.82"/>
    <x v="5"/>
    <s v="No"/>
    <n v="60075.57"/>
  </r>
  <r>
    <s v="TXN-20488"/>
    <x v="292"/>
    <x v="0"/>
    <x v="1"/>
    <x v="2"/>
    <x v="5"/>
    <n v="13.11"/>
    <x v="3"/>
    <s v="No"/>
    <n v="60062.46"/>
  </r>
  <r>
    <s v="TXN-20489"/>
    <x v="293"/>
    <x v="1"/>
    <x v="1"/>
    <x v="2"/>
    <x v="33"/>
    <n v="72.63"/>
    <x v="4"/>
    <s v="No"/>
    <n v="59989.83"/>
  </r>
  <r>
    <s v="TXN-20490"/>
    <x v="294"/>
    <x v="0"/>
    <x v="1"/>
    <x v="2"/>
    <x v="4"/>
    <n v="73.790000000000006"/>
    <x v="2"/>
    <s v="No"/>
    <n v="59916.04"/>
  </r>
  <r>
    <s v="TXN-20491"/>
    <x v="295"/>
    <x v="2"/>
    <x v="0"/>
    <x v="7"/>
    <x v="28"/>
    <n v="257.58999999999997"/>
    <x v="6"/>
    <s v="No"/>
    <n v="60173.63"/>
  </r>
  <r>
    <s v="TXN-20492"/>
    <x v="295"/>
    <x v="1"/>
    <x v="1"/>
    <x v="2"/>
    <x v="18"/>
    <n v="29.24"/>
    <x v="4"/>
    <s v="No"/>
    <n v="60144.39"/>
  </r>
  <r>
    <s v="TXN-20493"/>
    <x v="295"/>
    <x v="0"/>
    <x v="1"/>
    <x v="6"/>
    <x v="20"/>
    <n v="19.54"/>
    <x v="2"/>
    <s v="No"/>
    <n v="60124.85"/>
  </r>
  <r>
    <s v="TXN-20494"/>
    <x v="295"/>
    <x v="0"/>
    <x v="1"/>
    <x v="4"/>
    <x v="15"/>
    <n v="13.22"/>
    <x v="4"/>
    <s v="No"/>
    <n v="60111.63"/>
  </r>
  <r>
    <s v="TXN-20495"/>
    <x v="296"/>
    <x v="0"/>
    <x v="1"/>
    <x v="3"/>
    <x v="10"/>
    <n v="122.43"/>
    <x v="3"/>
    <s v="No"/>
    <n v="59989.2"/>
  </r>
  <r>
    <s v="TXN-20496"/>
    <x v="296"/>
    <x v="0"/>
    <x v="1"/>
    <x v="2"/>
    <x v="4"/>
    <n v="79.55"/>
    <x v="2"/>
    <s v="No"/>
    <n v="59909.65"/>
  </r>
  <r>
    <s v="TXN-20497"/>
    <x v="297"/>
    <x v="1"/>
    <x v="1"/>
    <x v="6"/>
    <x v="14"/>
    <n v="57.29"/>
    <x v="4"/>
    <s v="No"/>
    <n v="59852.36"/>
  </r>
  <r>
    <s v="TXN-20498"/>
    <x v="297"/>
    <x v="1"/>
    <x v="1"/>
    <x v="4"/>
    <x v="36"/>
    <n v="86.26"/>
    <x v="3"/>
    <s v="No"/>
    <n v="59766.1"/>
  </r>
  <r>
    <s v="TXN-20499"/>
    <x v="298"/>
    <x v="0"/>
    <x v="1"/>
    <x v="3"/>
    <x v="29"/>
    <n v="63.82"/>
    <x v="3"/>
    <s v="No"/>
    <n v="59702.28"/>
  </r>
  <r>
    <s v="TXN-20500"/>
    <x v="299"/>
    <x v="0"/>
    <x v="1"/>
    <x v="2"/>
    <x v="31"/>
    <n v="57.03"/>
    <x v="3"/>
    <s v="No"/>
    <n v="59645.25"/>
  </r>
  <r>
    <s v="TXN-20501"/>
    <x v="299"/>
    <x v="0"/>
    <x v="1"/>
    <x v="6"/>
    <x v="8"/>
    <n v="6.05"/>
    <x v="2"/>
    <s v="No"/>
    <n v="59639.199999999997"/>
  </r>
  <r>
    <s v="TXN-20502"/>
    <x v="300"/>
    <x v="0"/>
    <x v="1"/>
    <x v="6"/>
    <x v="20"/>
    <n v="37.85"/>
    <x v="3"/>
    <s v="No"/>
    <n v="59601.35"/>
  </r>
  <r>
    <s v="TXN-20503"/>
    <x v="301"/>
    <x v="1"/>
    <x v="1"/>
    <x v="3"/>
    <x v="29"/>
    <n v="47.21"/>
    <x v="4"/>
    <s v="No"/>
    <n v="59554.14"/>
  </r>
  <r>
    <s v="TXN-20504"/>
    <x v="301"/>
    <x v="0"/>
    <x v="1"/>
    <x v="6"/>
    <x v="14"/>
    <n v="25.79"/>
    <x v="4"/>
    <s v="No"/>
    <n v="59528.35"/>
  </r>
  <r>
    <s v="TXN-20505"/>
    <x v="302"/>
    <x v="0"/>
    <x v="0"/>
    <x v="0"/>
    <x v="40"/>
    <n v="3891.8"/>
    <x v="0"/>
    <s v="Yes"/>
    <n v="63420.15"/>
  </r>
  <r>
    <s v="TXN-20506"/>
    <x v="302"/>
    <x v="0"/>
    <x v="1"/>
    <x v="1"/>
    <x v="1"/>
    <n v="1313.63"/>
    <x v="1"/>
    <s v="Yes"/>
    <n v="62106.52"/>
  </r>
  <r>
    <s v="TXN-20507"/>
    <x v="302"/>
    <x v="1"/>
    <x v="1"/>
    <x v="2"/>
    <x v="2"/>
    <n v="28.47"/>
    <x v="2"/>
    <s v="No"/>
    <n v="62078.05"/>
  </r>
  <r>
    <s v="TXN-20508"/>
    <x v="303"/>
    <x v="0"/>
    <x v="1"/>
    <x v="6"/>
    <x v="20"/>
    <n v="13.76"/>
    <x v="3"/>
    <s v="No"/>
    <n v="62064.29"/>
  </r>
  <r>
    <s v="TXN-20509"/>
    <x v="304"/>
    <x v="0"/>
    <x v="0"/>
    <x v="7"/>
    <x v="42"/>
    <n v="640.88"/>
    <x v="5"/>
    <s v="No"/>
    <n v="62705.17"/>
  </r>
  <r>
    <s v="TXN-20510"/>
    <x v="304"/>
    <x v="0"/>
    <x v="1"/>
    <x v="2"/>
    <x v="2"/>
    <n v="36.369999999999997"/>
    <x v="3"/>
    <s v="No"/>
    <n v="62668.800000000003"/>
  </r>
  <r>
    <s v="TXN-20511"/>
    <x v="305"/>
    <x v="1"/>
    <x v="1"/>
    <x v="2"/>
    <x v="25"/>
    <n v="55.35"/>
    <x v="2"/>
    <s v="No"/>
    <n v="62613.45"/>
  </r>
  <r>
    <s v="TXN-20512"/>
    <x v="305"/>
    <x v="1"/>
    <x v="1"/>
    <x v="4"/>
    <x v="15"/>
    <n v="16.559999999999999"/>
    <x v="4"/>
    <s v="No"/>
    <n v="62596.89"/>
  </r>
  <r>
    <s v="TXN-20513"/>
    <x v="306"/>
    <x v="0"/>
    <x v="1"/>
    <x v="3"/>
    <x v="13"/>
    <n v="19.82"/>
    <x v="3"/>
    <s v="No"/>
    <n v="62577.07"/>
  </r>
  <r>
    <s v="TXN-20514"/>
    <x v="306"/>
    <x v="0"/>
    <x v="1"/>
    <x v="2"/>
    <x v="33"/>
    <n v="50.38"/>
    <x v="4"/>
    <s v="No"/>
    <n v="62526.69"/>
  </r>
  <r>
    <s v="TXN-20515"/>
    <x v="307"/>
    <x v="0"/>
    <x v="1"/>
    <x v="5"/>
    <x v="7"/>
    <n v="64.44"/>
    <x v="1"/>
    <s v="Yes"/>
    <n v="62462.25"/>
  </r>
  <r>
    <s v="TXN-20516"/>
    <x v="307"/>
    <x v="0"/>
    <x v="1"/>
    <x v="3"/>
    <x v="3"/>
    <n v="15.38"/>
    <x v="4"/>
    <s v="No"/>
    <n v="62446.87"/>
  </r>
  <r>
    <s v="TXN-20517"/>
    <x v="307"/>
    <x v="0"/>
    <x v="1"/>
    <x v="4"/>
    <x v="38"/>
    <n v="52.91"/>
    <x v="3"/>
    <s v="No"/>
    <n v="62393.96"/>
  </r>
  <r>
    <s v="TXN-20518"/>
    <x v="308"/>
    <x v="0"/>
    <x v="1"/>
    <x v="3"/>
    <x v="13"/>
    <n v="87.36"/>
    <x v="3"/>
    <s v="No"/>
    <n v="62306.6"/>
  </r>
  <r>
    <s v="TXN-20519"/>
    <x v="308"/>
    <x v="1"/>
    <x v="1"/>
    <x v="2"/>
    <x v="11"/>
    <n v="37.89"/>
    <x v="3"/>
    <s v="No"/>
    <n v="62268.71"/>
  </r>
  <r>
    <s v="TXN-20520"/>
    <x v="309"/>
    <x v="0"/>
    <x v="1"/>
    <x v="5"/>
    <x v="7"/>
    <n v="77.84"/>
    <x v="1"/>
    <s v="Yes"/>
    <n v="62190.87"/>
  </r>
  <r>
    <s v="TXN-20521"/>
    <x v="309"/>
    <x v="0"/>
    <x v="1"/>
    <x v="6"/>
    <x v="8"/>
    <n v="50.56"/>
    <x v="2"/>
    <s v="No"/>
    <n v="62140.31"/>
  </r>
  <r>
    <s v="TXN-20522"/>
    <x v="310"/>
    <x v="1"/>
    <x v="1"/>
    <x v="3"/>
    <x v="29"/>
    <n v="44.71"/>
    <x v="4"/>
    <s v="No"/>
    <n v="62095.6"/>
  </r>
  <r>
    <s v="TXN-20523"/>
    <x v="310"/>
    <x v="0"/>
    <x v="1"/>
    <x v="2"/>
    <x v="31"/>
    <n v="40.14"/>
    <x v="3"/>
    <s v="No"/>
    <n v="62055.46"/>
  </r>
  <r>
    <s v="TXN-20524"/>
    <x v="310"/>
    <x v="1"/>
    <x v="1"/>
    <x v="4"/>
    <x v="35"/>
    <n v="99.03"/>
    <x v="4"/>
    <s v="No"/>
    <n v="61956.43"/>
  </r>
  <r>
    <s v="TXN-20525"/>
    <x v="311"/>
    <x v="0"/>
    <x v="1"/>
    <x v="3"/>
    <x v="10"/>
    <n v="163.13999999999999"/>
    <x v="3"/>
    <s v="No"/>
    <n v="61793.29"/>
  </r>
  <r>
    <s v="TXN-20526"/>
    <x v="312"/>
    <x v="0"/>
    <x v="0"/>
    <x v="7"/>
    <x v="32"/>
    <n v="1243.75"/>
    <x v="6"/>
    <s v="No"/>
    <n v="63037.04"/>
  </r>
  <r>
    <s v="TXN-20527"/>
    <x v="312"/>
    <x v="1"/>
    <x v="1"/>
    <x v="2"/>
    <x v="21"/>
    <n v="43.19"/>
    <x v="4"/>
    <s v="No"/>
    <n v="62993.85"/>
  </r>
  <r>
    <s v="TXN-20528"/>
    <x v="313"/>
    <x v="1"/>
    <x v="1"/>
    <x v="2"/>
    <x v="18"/>
    <n v="32.479999999999997"/>
    <x v="2"/>
    <s v="No"/>
    <n v="62961.37"/>
  </r>
  <r>
    <s v="TXN-20529"/>
    <x v="314"/>
    <x v="1"/>
    <x v="1"/>
    <x v="2"/>
    <x v="2"/>
    <n v="13.22"/>
    <x v="3"/>
    <s v="No"/>
    <n v="62948.15"/>
  </r>
  <r>
    <s v="TXN-20530"/>
    <x v="315"/>
    <x v="1"/>
    <x v="1"/>
    <x v="6"/>
    <x v="8"/>
    <n v="21.06"/>
    <x v="3"/>
    <s v="No"/>
    <n v="62927.09"/>
  </r>
  <r>
    <s v="TXN-20531"/>
    <x v="316"/>
    <x v="0"/>
    <x v="1"/>
    <x v="4"/>
    <x v="36"/>
    <n v="80.709999999999994"/>
    <x v="3"/>
    <s v="No"/>
    <n v="62846.38"/>
  </r>
  <r>
    <s v="TXN-20532"/>
    <x v="317"/>
    <x v="1"/>
    <x v="1"/>
    <x v="3"/>
    <x v="3"/>
    <n v="125.53"/>
    <x v="3"/>
    <s v="No"/>
    <n v="62720.85"/>
  </r>
  <r>
    <s v="TXN-20533"/>
    <x v="317"/>
    <x v="1"/>
    <x v="1"/>
    <x v="2"/>
    <x v="25"/>
    <n v="53.8"/>
    <x v="2"/>
    <s v="No"/>
    <n v="62667.05"/>
  </r>
  <r>
    <s v="TXN-20534"/>
    <x v="317"/>
    <x v="1"/>
    <x v="1"/>
    <x v="6"/>
    <x v="27"/>
    <n v="5.03"/>
    <x v="2"/>
    <s v="No"/>
    <n v="62662.02"/>
  </r>
  <r>
    <s v="TXN-20535"/>
    <x v="318"/>
    <x v="1"/>
    <x v="1"/>
    <x v="6"/>
    <x v="20"/>
    <n v="8.61"/>
    <x v="2"/>
    <s v="No"/>
    <n v="62653.41"/>
  </r>
  <r>
    <s v="TXN-20536"/>
    <x v="319"/>
    <x v="1"/>
    <x v="1"/>
    <x v="3"/>
    <x v="3"/>
    <n v="73"/>
    <x v="3"/>
    <s v="No"/>
    <n v="62580.41"/>
  </r>
  <r>
    <s v="TXN-20537"/>
    <x v="320"/>
    <x v="0"/>
    <x v="1"/>
    <x v="2"/>
    <x v="25"/>
    <n v="58.27"/>
    <x v="3"/>
    <s v="No"/>
    <n v="62522.14"/>
  </r>
  <r>
    <s v="TXN-20538"/>
    <x v="321"/>
    <x v="0"/>
    <x v="1"/>
    <x v="3"/>
    <x v="13"/>
    <n v="33.35"/>
    <x v="3"/>
    <s v="No"/>
    <n v="62488.79"/>
  </r>
  <r>
    <s v="TXN-20539"/>
    <x v="322"/>
    <x v="0"/>
    <x v="1"/>
    <x v="2"/>
    <x v="31"/>
    <n v="57.37"/>
    <x v="4"/>
    <s v="No"/>
    <n v="62431.42"/>
  </r>
  <r>
    <s v="TXN-20540"/>
    <x v="323"/>
    <x v="1"/>
    <x v="1"/>
    <x v="3"/>
    <x v="3"/>
    <n v="137.77000000000001"/>
    <x v="4"/>
    <s v="No"/>
    <n v="62293.65"/>
  </r>
  <r>
    <s v="TXN-20541"/>
    <x v="323"/>
    <x v="0"/>
    <x v="1"/>
    <x v="2"/>
    <x v="33"/>
    <n v="13.04"/>
    <x v="2"/>
    <s v="No"/>
    <n v="62280.61"/>
  </r>
  <r>
    <s v="TXN-20542"/>
    <x v="323"/>
    <x v="1"/>
    <x v="1"/>
    <x v="6"/>
    <x v="14"/>
    <n v="55.35"/>
    <x v="3"/>
    <s v="No"/>
    <n v="62225.26"/>
  </r>
  <r>
    <s v="TXN-20543"/>
    <x v="324"/>
    <x v="0"/>
    <x v="1"/>
    <x v="3"/>
    <x v="30"/>
    <n v="52.45"/>
    <x v="3"/>
    <s v="No"/>
    <n v="62172.81"/>
  </r>
  <r>
    <s v="TXN-20544"/>
    <x v="325"/>
    <x v="1"/>
    <x v="1"/>
    <x v="2"/>
    <x v="21"/>
    <n v="63.39"/>
    <x v="3"/>
    <s v="No"/>
    <n v="62109.42"/>
  </r>
  <r>
    <s v="TXN-20545"/>
    <x v="326"/>
    <x v="0"/>
    <x v="0"/>
    <x v="7"/>
    <x v="43"/>
    <n v="1440.04"/>
    <x v="5"/>
    <s v="No"/>
    <n v="63549.46"/>
  </r>
  <r>
    <s v="TXN-20546"/>
    <x v="326"/>
    <x v="0"/>
    <x v="1"/>
    <x v="2"/>
    <x v="21"/>
    <n v="48.78"/>
    <x v="2"/>
    <s v="No"/>
    <n v="63500.68"/>
  </r>
  <r>
    <s v="TXN-20547"/>
    <x v="327"/>
    <x v="1"/>
    <x v="1"/>
    <x v="2"/>
    <x v="31"/>
    <n v="33.97"/>
    <x v="2"/>
    <s v="No"/>
    <n v="63466.71"/>
  </r>
  <r>
    <s v="TXN-20548"/>
    <x v="328"/>
    <x v="0"/>
    <x v="1"/>
    <x v="6"/>
    <x v="8"/>
    <n v="57.01"/>
    <x v="4"/>
    <s v="No"/>
    <n v="63409.7"/>
  </r>
  <r>
    <s v="TXN-20549"/>
    <x v="328"/>
    <x v="1"/>
    <x v="1"/>
    <x v="4"/>
    <x v="36"/>
    <n v="70.25"/>
    <x v="3"/>
    <s v="No"/>
    <n v="63339.45"/>
  </r>
  <r>
    <s v="TXN-20550"/>
    <x v="329"/>
    <x v="1"/>
    <x v="1"/>
    <x v="2"/>
    <x v="4"/>
    <n v="18.61"/>
    <x v="3"/>
    <s v="No"/>
    <n v="63320.84"/>
  </r>
  <r>
    <s v="TXN-20551"/>
    <x v="330"/>
    <x v="0"/>
    <x v="0"/>
    <x v="0"/>
    <x v="0"/>
    <n v="4297.97"/>
    <x v="0"/>
    <s v="Yes"/>
    <n v="67618.81"/>
  </r>
  <r>
    <s v="TXN-20552"/>
    <x v="330"/>
    <x v="0"/>
    <x v="1"/>
    <x v="1"/>
    <x v="24"/>
    <n v="1853.06"/>
    <x v="1"/>
    <s v="Yes"/>
    <n v="65765.75"/>
  </r>
  <r>
    <s v="TXN-20553"/>
    <x v="331"/>
    <x v="1"/>
    <x v="1"/>
    <x v="2"/>
    <x v="18"/>
    <n v="23.15"/>
    <x v="4"/>
    <s v="No"/>
    <n v="65742.600000000006"/>
  </r>
  <r>
    <s v="TXN-20554"/>
    <x v="331"/>
    <x v="0"/>
    <x v="1"/>
    <x v="6"/>
    <x v="14"/>
    <n v="47.55"/>
    <x v="4"/>
    <s v="No"/>
    <n v="65695.05"/>
  </r>
  <r>
    <s v="TXN-20555"/>
    <x v="331"/>
    <x v="1"/>
    <x v="1"/>
    <x v="4"/>
    <x v="37"/>
    <n v="85.37"/>
    <x v="4"/>
    <s v="No"/>
    <n v="65609.679999999993"/>
  </r>
  <r>
    <s v="TXN-20556"/>
    <x v="332"/>
    <x v="1"/>
    <x v="1"/>
    <x v="3"/>
    <x v="10"/>
    <n v="73.03"/>
    <x v="3"/>
    <s v="No"/>
    <n v="65536.649999999994"/>
  </r>
  <r>
    <s v="TXN-20557"/>
    <x v="332"/>
    <x v="0"/>
    <x v="1"/>
    <x v="6"/>
    <x v="16"/>
    <n v="25.39"/>
    <x v="4"/>
    <s v="No"/>
    <n v="65511.26"/>
  </r>
  <r>
    <s v="TXN-20558"/>
    <x v="333"/>
    <x v="2"/>
    <x v="0"/>
    <x v="7"/>
    <x v="42"/>
    <n v="757.34"/>
    <x v="6"/>
    <s v="No"/>
    <n v="66268.600000000006"/>
  </r>
  <r>
    <s v="TXN-20559"/>
    <x v="333"/>
    <x v="1"/>
    <x v="1"/>
    <x v="5"/>
    <x v="41"/>
    <n v="106.81"/>
    <x v="1"/>
    <s v="Yes"/>
    <n v="66161.789999999994"/>
  </r>
  <r>
    <s v="TXN-20560"/>
    <x v="333"/>
    <x v="0"/>
    <x v="1"/>
    <x v="3"/>
    <x v="3"/>
    <n v="179"/>
    <x v="3"/>
    <s v="No"/>
    <n v="65982.789999999994"/>
  </r>
  <r>
    <s v="TXN-20561"/>
    <x v="334"/>
    <x v="1"/>
    <x v="1"/>
    <x v="5"/>
    <x v="7"/>
    <n v="142.51"/>
    <x v="1"/>
    <s v="Yes"/>
    <n v="65840.28"/>
  </r>
  <r>
    <s v="TXN-20562"/>
    <x v="334"/>
    <x v="0"/>
    <x v="1"/>
    <x v="3"/>
    <x v="3"/>
    <n v="144.29"/>
    <x v="3"/>
    <s v="No"/>
    <n v="65695.990000000005"/>
  </r>
  <r>
    <s v="TXN-20563"/>
    <x v="334"/>
    <x v="0"/>
    <x v="1"/>
    <x v="6"/>
    <x v="12"/>
    <n v="32.81"/>
    <x v="3"/>
    <s v="No"/>
    <n v="65663.179999999993"/>
  </r>
  <r>
    <s v="TXN-20564"/>
    <x v="334"/>
    <x v="0"/>
    <x v="1"/>
    <x v="4"/>
    <x v="15"/>
    <n v="59.87"/>
    <x v="4"/>
    <s v="No"/>
    <n v="65603.31"/>
  </r>
  <r>
    <s v="TXN-20565"/>
    <x v="335"/>
    <x v="1"/>
    <x v="1"/>
    <x v="3"/>
    <x v="10"/>
    <n v="25.14"/>
    <x v="4"/>
    <s v="No"/>
    <n v="65578.17"/>
  </r>
  <r>
    <s v="TXN-20566"/>
    <x v="336"/>
    <x v="1"/>
    <x v="1"/>
    <x v="6"/>
    <x v="16"/>
    <n v="45.16"/>
    <x v="4"/>
    <s v="No"/>
    <n v="65533.01"/>
  </r>
  <r>
    <s v="TXN-20567"/>
    <x v="337"/>
    <x v="1"/>
    <x v="1"/>
    <x v="5"/>
    <x v="7"/>
    <n v="184.23"/>
    <x v="1"/>
    <s v="Yes"/>
    <n v="65348.78"/>
  </r>
  <r>
    <s v="TXN-20568"/>
    <x v="338"/>
    <x v="0"/>
    <x v="1"/>
    <x v="2"/>
    <x v="18"/>
    <n v="73.88"/>
    <x v="2"/>
    <s v="No"/>
    <n v="65274.9"/>
  </r>
  <r>
    <s v="TXN-20569"/>
    <x v="339"/>
    <x v="1"/>
    <x v="1"/>
    <x v="6"/>
    <x v="14"/>
    <n v="35.42"/>
    <x v="4"/>
    <s v="No"/>
    <n v="65239.48"/>
  </r>
  <r>
    <s v="TXN-20570"/>
    <x v="340"/>
    <x v="1"/>
    <x v="1"/>
    <x v="2"/>
    <x v="11"/>
    <n v="52.46"/>
    <x v="3"/>
    <s v="No"/>
    <n v="65187.02"/>
  </r>
  <r>
    <s v="TXN-20571"/>
    <x v="340"/>
    <x v="1"/>
    <x v="1"/>
    <x v="6"/>
    <x v="27"/>
    <n v="47.1"/>
    <x v="2"/>
    <s v="No"/>
    <n v="65139.92"/>
  </r>
  <r>
    <s v="TXN-20572"/>
    <x v="341"/>
    <x v="0"/>
    <x v="0"/>
    <x v="0"/>
    <x v="40"/>
    <n v="4153"/>
    <x v="0"/>
    <s v="Yes"/>
    <n v="69292.92"/>
  </r>
  <r>
    <s v="TXN-20573"/>
    <x v="341"/>
    <x v="0"/>
    <x v="1"/>
    <x v="3"/>
    <x v="30"/>
    <n v="33.54"/>
    <x v="3"/>
    <s v="No"/>
    <n v="69259.38"/>
  </r>
  <r>
    <s v="TXN-20574"/>
    <x v="342"/>
    <x v="1"/>
    <x v="1"/>
    <x v="3"/>
    <x v="17"/>
    <n v="64.87"/>
    <x v="4"/>
    <s v="No"/>
    <n v="69194.509999999995"/>
  </r>
  <r>
    <s v="TXN-20575"/>
    <x v="343"/>
    <x v="0"/>
    <x v="1"/>
    <x v="4"/>
    <x v="37"/>
    <n v="64.44"/>
    <x v="3"/>
    <s v="No"/>
    <n v="69130.070000000007"/>
  </r>
  <r>
    <s v="TXN-20576"/>
    <x v="344"/>
    <x v="1"/>
    <x v="1"/>
    <x v="2"/>
    <x v="31"/>
    <n v="77.510000000000005"/>
    <x v="4"/>
    <s v="No"/>
    <n v="69052.56"/>
  </r>
  <r>
    <s v="TXN-20577"/>
    <x v="344"/>
    <x v="0"/>
    <x v="1"/>
    <x v="6"/>
    <x v="16"/>
    <n v="42.06"/>
    <x v="3"/>
    <s v="No"/>
    <n v="69010.5"/>
  </r>
  <r>
    <s v="TXN-20578"/>
    <x v="344"/>
    <x v="1"/>
    <x v="1"/>
    <x v="4"/>
    <x v="37"/>
    <n v="35.47"/>
    <x v="4"/>
    <s v="No"/>
    <n v="68975.03"/>
  </r>
  <r>
    <s v="TXN-20579"/>
    <x v="345"/>
    <x v="1"/>
    <x v="1"/>
    <x v="3"/>
    <x v="13"/>
    <n v="89.41"/>
    <x v="3"/>
    <s v="No"/>
    <n v="68885.62"/>
  </r>
  <r>
    <s v="TXN-20580"/>
    <x v="345"/>
    <x v="1"/>
    <x v="1"/>
    <x v="2"/>
    <x v="18"/>
    <n v="15.8"/>
    <x v="2"/>
    <s v="No"/>
    <n v="68869.820000000007"/>
  </r>
  <r>
    <s v="TXN-20581"/>
    <x v="345"/>
    <x v="0"/>
    <x v="1"/>
    <x v="6"/>
    <x v="14"/>
    <n v="8.64"/>
    <x v="4"/>
    <s v="No"/>
    <n v="68861.179999999993"/>
  </r>
  <r>
    <s v="TXN-20582"/>
    <x v="346"/>
    <x v="1"/>
    <x v="1"/>
    <x v="4"/>
    <x v="22"/>
    <n v="52.32"/>
    <x v="3"/>
    <s v="No"/>
    <n v="68808.86"/>
  </r>
  <r>
    <s v="TXN-20583"/>
    <x v="347"/>
    <x v="0"/>
    <x v="1"/>
    <x v="6"/>
    <x v="23"/>
    <n v="23.61"/>
    <x v="4"/>
    <s v="No"/>
    <n v="68785.25"/>
  </r>
  <r>
    <s v="TXN-20584"/>
    <x v="348"/>
    <x v="0"/>
    <x v="1"/>
    <x v="2"/>
    <x v="21"/>
    <n v="52.03"/>
    <x v="2"/>
    <s v="No"/>
    <n v="68733.22"/>
  </r>
  <r>
    <s v="TXN-20585"/>
    <x v="349"/>
    <x v="0"/>
    <x v="1"/>
    <x v="2"/>
    <x v="18"/>
    <n v="63.29"/>
    <x v="4"/>
    <s v="No"/>
    <n v="68669.929999999993"/>
  </r>
  <r>
    <s v="TXN-20586"/>
    <x v="349"/>
    <x v="0"/>
    <x v="1"/>
    <x v="6"/>
    <x v="20"/>
    <n v="54.98"/>
    <x v="3"/>
    <s v="No"/>
    <n v="68614.95"/>
  </r>
  <r>
    <s v="TXN-20587"/>
    <x v="350"/>
    <x v="1"/>
    <x v="1"/>
    <x v="2"/>
    <x v="11"/>
    <n v="52.77"/>
    <x v="4"/>
    <s v="No"/>
    <n v="68562.179999999993"/>
  </r>
  <r>
    <s v="TXN-20588"/>
    <x v="351"/>
    <x v="0"/>
    <x v="1"/>
    <x v="6"/>
    <x v="14"/>
    <n v="32.24"/>
    <x v="4"/>
    <s v="No"/>
    <n v="68529.94"/>
  </r>
  <r>
    <s v="TXN-20589"/>
    <x v="352"/>
    <x v="1"/>
    <x v="1"/>
    <x v="3"/>
    <x v="10"/>
    <n v="53.82"/>
    <x v="3"/>
    <s v="No"/>
    <n v="68476.12"/>
  </r>
  <r>
    <s v="TXN-20590"/>
    <x v="352"/>
    <x v="0"/>
    <x v="1"/>
    <x v="2"/>
    <x v="11"/>
    <n v="12.69"/>
    <x v="3"/>
    <s v="No"/>
    <n v="68463.429999999993"/>
  </r>
  <r>
    <s v="TXN-20591"/>
    <x v="353"/>
    <x v="0"/>
    <x v="0"/>
    <x v="0"/>
    <x v="40"/>
    <n v="4793.6899999999996"/>
    <x v="0"/>
    <s v="Yes"/>
    <n v="73257.119999999995"/>
  </r>
  <r>
    <s v="TXN-20592"/>
    <x v="353"/>
    <x v="0"/>
    <x v="1"/>
    <x v="1"/>
    <x v="39"/>
    <n v="1713.3"/>
    <x v="1"/>
    <s v="Yes"/>
    <n v="71543.820000000007"/>
  </r>
  <r>
    <s v="TXN-20593"/>
    <x v="354"/>
    <x v="1"/>
    <x v="1"/>
    <x v="2"/>
    <x v="18"/>
    <n v="48.07"/>
    <x v="2"/>
    <s v="No"/>
    <n v="71495.75"/>
  </r>
  <r>
    <s v="TXN-20594"/>
    <x v="355"/>
    <x v="1"/>
    <x v="1"/>
    <x v="6"/>
    <x v="27"/>
    <n v="47.99"/>
    <x v="2"/>
    <s v="No"/>
    <n v="71447.759999999995"/>
  </r>
  <r>
    <s v="TXN-20595"/>
    <x v="356"/>
    <x v="1"/>
    <x v="1"/>
    <x v="2"/>
    <x v="31"/>
    <n v="84.19"/>
    <x v="3"/>
    <s v="No"/>
    <n v="71363.570000000007"/>
  </r>
  <r>
    <s v="TXN-20596"/>
    <x v="357"/>
    <x v="1"/>
    <x v="1"/>
    <x v="5"/>
    <x v="34"/>
    <n v="136.22999999999999"/>
    <x v="1"/>
    <s v="Yes"/>
    <n v="71227.34"/>
  </r>
  <r>
    <s v="TXN-20597"/>
    <x v="358"/>
    <x v="1"/>
    <x v="1"/>
    <x v="5"/>
    <x v="7"/>
    <n v="144.44999999999999"/>
    <x v="1"/>
    <s v="Yes"/>
    <n v="71082.89"/>
  </r>
  <r>
    <s v="TXN-20598"/>
    <x v="358"/>
    <x v="1"/>
    <x v="1"/>
    <x v="2"/>
    <x v="11"/>
    <n v="59.67"/>
    <x v="2"/>
    <s v="No"/>
    <n v="71023.22"/>
  </r>
  <r>
    <s v="TXN-20599"/>
    <x v="358"/>
    <x v="0"/>
    <x v="1"/>
    <x v="6"/>
    <x v="27"/>
    <n v="59.77"/>
    <x v="3"/>
    <s v="No"/>
    <n v="70963.45"/>
  </r>
  <r>
    <s v="TXN-20600"/>
    <x v="359"/>
    <x v="0"/>
    <x v="1"/>
    <x v="5"/>
    <x v="41"/>
    <n v="229.24"/>
    <x v="1"/>
    <s v="Yes"/>
    <n v="70734.210000000006"/>
  </r>
  <r>
    <s v="TXN-20601"/>
    <x v="359"/>
    <x v="0"/>
    <x v="1"/>
    <x v="6"/>
    <x v="23"/>
    <n v="42.12"/>
    <x v="2"/>
    <s v="No"/>
    <n v="70692.09"/>
  </r>
  <r>
    <s v="TXN-20602"/>
    <x v="360"/>
    <x v="1"/>
    <x v="1"/>
    <x v="6"/>
    <x v="8"/>
    <n v="8.52"/>
    <x v="4"/>
    <s v="No"/>
    <n v="70683.570000000007"/>
  </r>
  <r>
    <s v="TXN-20603"/>
    <x v="360"/>
    <x v="1"/>
    <x v="1"/>
    <x v="4"/>
    <x v="38"/>
    <n v="36.159999999999997"/>
    <x v="4"/>
    <s v="No"/>
    <n v="70647.41"/>
  </r>
  <r>
    <s v="TXN-20604"/>
    <x v="361"/>
    <x v="0"/>
    <x v="1"/>
    <x v="6"/>
    <x v="27"/>
    <n v="21.42"/>
    <x v="2"/>
    <s v="No"/>
    <n v="70625.990000000005"/>
  </r>
  <r>
    <s v="TXN-20605"/>
    <x v="361"/>
    <x v="0"/>
    <x v="1"/>
    <x v="4"/>
    <x v="6"/>
    <n v="70.31"/>
    <x v="4"/>
    <s v="No"/>
    <n v="70555.679999999993"/>
  </r>
  <r>
    <s v="TXN-20606"/>
    <x v="362"/>
    <x v="1"/>
    <x v="1"/>
    <x v="3"/>
    <x v="3"/>
    <n v="108.02"/>
    <x v="3"/>
    <s v="No"/>
    <n v="70447.66"/>
  </r>
  <r>
    <s v="TXN-20607"/>
    <x v="363"/>
    <x v="1"/>
    <x v="1"/>
    <x v="2"/>
    <x v="18"/>
    <n v="82.89"/>
    <x v="4"/>
    <s v="No"/>
    <n v="70364.77"/>
  </r>
  <r>
    <s v="TXN-20608"/>
    <x v="364"/>
    <x v="1"/>
    <x v="1"/>
    <x v="3"/>
    <x v="30"/>
    <n v="95.11"/>
    <x v="4"/>
    <s v="No"/>
    <n v="70269.66"/>
  </r>
  <r>
    <s v="TXN-20609"/>
    <x v="364"/>
    <x v="1"/>
    <x v="1"/>
    <x v="6"/>
    <x v="16"/>
    <n v="20.47"/>
    <x v="3"/>
    <s v="No"/>
    <n v="70249.19"/>
  </r>
  <r>
    <s v="TXN-20610"/>
    <x v="365"/>
    <x v="0"/>
    <x v="1"/>
    <x v="3"/>
    <x v="13"/>
    <n v="59.22"/>
    <x v="4"/>
    <s v="No"/>
    <n v="70189.97"/>
  </r>
  <r>
    <s v="TXN-20611"/>
    <x v="366"/>
    <x v="0"/>
    <x v="1"/>
    <x v="6"/>
    <x v="23"/>
    <n v="10.83"/>
    <x v="4"/>
    <s v="No"/>
    <n v="70179.14"/>
  </r>
  <r>
    <s v="TXN-20612"/>
    <x v="367"/>
    <x v="0"/>
    <x v="1"/>
    <x v="3"/>
    <x v="10"/>
    <n v="112.75"/>
    <x v="3"/>
    <s v="No"/>
    <n v="70066.39"/>
  </r>
  <r>
    <s v="TXN-20613"/>
    <x v="367"/>
    <x v="1"/>
    <x v="1"/>
    <x v="2"/>
    <x v="33"/>
    <n v="84.34"/>
    <x v="2"/>
    <s v="No"/>
    <n v="69982.05"/>
  </r>
  <r>
    <s v="TXN-20614"/>
    <x v="367"/>
    <x v="1"/>
    <x v="1"/>
    <x v="6"/>
    <x v="8"/>
    <n v="35.44"/>
    <x v="2"/>
    <s v="No"/>
    <n v="69946.61"/>
  </r>
  <r>
    <s v="TXN-20615"/>
    <x v="368"/>
    <x v="0"/>
    <x v="1"/>
    <x v="6"/>
    <x v="16"/>
    <n v="30.23"/>
    <x v="2"/>
    <s v="No"/>
    <n v="69916.38"/>
  </r>
  <r>
    <s v="TXN-20616"/>
    <x v="369"/>
    <x v="0"/>
    <x v="1"/>
    <x v="2"/>
    <x v="33"/>
    <n v="65.78"/>
    <x v="2"/>
    <s v="No"/>
    <n v="69850.600000000006"/>
  </r>
  <r>
    <s v="TXN-20617"/>
    <x v="369"/>
    <x v="0"/>
    <x v="1"/>
    <x v="6"/>
    <x v="16"/>
    <n v="49.28"/>
    <x v="2"/>
    <s v="No"/>
    <n v="69801.320000000007"/>
  </r>
  <r>
    <s v="TXN-20618"/>
    <x v="370"/>
    <x v="1"/>
    <x v="1"/>
    <x v="6"/>
    <x v="16"/>
    <n v="5.0599999999999996"/>
    <x v="2"/>
    <s v="No"/>
    <n v="69796.259999999995"/>
  </r>
  <r>
    <s v="TXN-20619"/>
    <x v="371"/>
    <x v="1"/>
    <x v="1"/>
    <x v="6"/>
    <x v="27"/>
    <n v="45.34"/>
    <x v="3"/>
    <s v="No"/>
    <n v="69750.92"/>
  </r>
  <r>
    <s v="TXN-20620"/>
    <x v="372"/>
    <x v="1"/>
    <x v="1"/>
    <x v="3"/>
    <x v="13"/>
    <n v="76.760000000000005"/>
    <x v="4"/>
    <s v="No"/>
    <n v="69674.16"/>
  </r>
  <r>
    <s v="TXN-20621"/>
    <x v="372"/>
    <x v="1"/>
    <x v="1"/>
    <x v="2"/>
    <x v="18"/>
    <n v="59.65"/>
    <x v="3"/>
    <s v="No"/>
    <n v="69614.509999999995"/>
  </r>
  <r>
    <s v="TXN-20622"/>
    <x v="372"/>
    <x v="0"/>
    <x v="1"/>
    <x v="6"/>
    <x v="12"/>
    <n v="25.55"/>
    <x v="3"/>
    <s v="No"/>
    <n v="69588.960000000006"/>
  </r>
  <r>
    <s v="TXN-20623"/>
    <x v="373"/>
    <x v="1"/>
    <x v="1"/>
    <x v="6"/>
    <x v="20"/>
    <n v="12.19"/>
    <x v="2"/>
    <s v="No"/>
    <n v="69576.77"/>
  </r>
  <r>
    <s v="TXN-20624"/>
    <x v="374"/>
    <x v="0"/>
    <x v="1"/>
    <x v="3"/>
    <x v="13"/>
    <n v="146.68"/>
    <x v="3"/>
    <s v="No"/>
    <n v="69430.09"/>
  </r>
  <r>
    <s v="TXN-20625"/>
    <x v="374"/>
    <x v="1"/>
    <x v="1"/>
    <x v="2"/>
    <x v="5"/>
    <n v="14.23"/>
    <x v="2"/>
    <s v="No"/>
    <n v="69415.86"/>
  </r>
  <r>
    <s v="TXN-20626"/>
    <x v="374"/>
    <x v="1"/>
    <x v="1"/>
    <x v="4"/>
    <x v="15"/>
    <n v="63.18"/>
    <x v="3"/>
    <s v="No"/>
    <n v="69352.679999999993"/>
  </r>
  <r>
    <s v="TXN-20627"/>
    <x v="375"/>
    <x v="1"/>
    <x v="1"/>
    <x v="6"/>
    <x v="12"/>
    <n v="43.43"/>
    <x v="4"/>
    <s v="No"/>
    <n v="69309.25"/>
  </r>
  <r>
    <s v="TXN-20628"/>
    <x v="376"/>
    <x v="0"/>
    <x v="1"/>
    <x v="6"/>
    <x v="23"/>
    <n v="18.079999999999998"/>
    <x v="3"/>
    <s v="No"/>
    <n v="69291.17"/>
  </r>
  <r>
    <s v="TXN-20629"/>
    <x v="377"/>
    <x v="0"/>
    <x v="0"/>
    <x v="0"/>
    <x v="40"/>
    <n v="4744.87"/>
    <x v="0"/>
    <s v="Yes"/>
    <n v="74036.039999999994"/>
  </r>
  <r>
    <s v="TXN-20630"/>
    <x v="377"/>
    <x v="0"/>
    <x v="1"/>
    <x v="1"/>
    <x v="24"/>
    <n v="1546.51"/>
    <x v="1"/>
    <s v="Yes"/>
    <n v="72489.53"/>
  </r>
  <r>
    <s v="TXN-20631"/>
    <x v="377"/>
    <x v="0"/>
    <x v="1"/>
    <x v="3"/>
    <x v="19"/>
    <n v="142.59"/>
    <x v="3"/>
    <s v="No"/>
    <n v="72346.94"/>
  </r>
  <r>
    <s v="TXN-20632"/>
    <x v="377"/>
    <x v="0"/>
    <x v="1"/>
    <x v="4"/>
    <x v="15"/>
    <n v="49.8"/>
    <x v="3"/>
    <s v="No"/>
    <n v="72297.14"/>
  </r>
  <r>
    <s v="TXN-20633"/>
    <x v="378"/>
    <x v="0"/>
    <x v="1"/>
    <x v="6"/>
    <x v="23"/>
    <n v="45.83"/>
    <x v="4"/>
    <s v="No"/>
    <n v="72251.31"/>
  </r>
  <r>
    <s v="TXN-20634"/>
    <x v="379"/>
    <x v="0"/>
    <x v="1"/>
    <x v="2"/>
    <x v="31"/>
    <n v="15.1"/>
    <x v="3"/>
    <s v="No"/>
    <n v="72236.210000000006"/>
  </r>
  <r>
    <s v="TXN-20635"/>
    <x v="379"/>
    <x v="0"/>
    <x v="1"/>
    <x v="6"/>
    <x v="12"/>
    <n v="35.21"/>
    <x v="2"/>
    <s v="No"/>
    <n v="72201"/>
  </r>
  <r>
    <s v="TXN-20636"/>
    <x v="380"/>
    <x v="0"/>
    <x v="1"/>
    <x v="5"/>
    <x v="26"/>
    <n v="97.99"/>
    <x v="1"/>
    <s v="Yes"/>
    <n v="72103.009999999995"/>
  </r>
  <r>
    <s v="TXN-20637"/>
    <x v="380"/>
    <x v="0"/>
    <x v="1"/>
    <x v="6"/>
    <x v="27"/>
    <n v="36.79"/>
    <x v="2"/>
    <s v="No"/>
    <n v="72066.22"/>
  </r>
  <r>
    <s v="TXN-20638"/>
    <x v="381"/>
    <x v="1"/>
    <x v="1"/>
    <x v="5"/>
    <x v="41"/>
    <n v="190.01"/>
    <x v="1"/>
    <s v="Yes"/>
    <n v="71876.210000000006"/>
  </r>
  <r>
    <s v="TXN-20639"/>
    <x v="381"/>
    <x v="0"/>
    <x v="1"/>
    <x v="4"/>
    <x v="15"/>
    <n v="88.68"/>
    <x v="3"/>
    <s v="No"/>
    <n v="71787.53"/>
  </r>
  <r>
    <s v="TXN-20640"/>
    <x v="382"/>
    <x v="0"/>
    <x v="1"/>
    <x v="2"/>
    <x v="4"/>
    <n v="33.97"/>
    <x v="3"/>
    <s v="No"/>
    <n v="71753.56"/>
  </r>
  <r>
    <s v="TXN-20641"/>
    <x v="382"/>
    <x v="0"/>
    <x v="1"/>
    <x v="4"/>
    <x v="36"/>
    <n v="32.86"/>
    <x v="3"/>
    <s v="No"/>
    <n v="71720.7"/>
  </r>
  <r>
    <s v="TXN-20642"/>
    <x v="383"/>
    <x v="1"/>
    <x v="1"/>
    <x v="5"/>
    <x v="26"/>
    <n v="144.55000000000001"/>
    <x v="1"/>
    <s v="Yes"/>
    <n v="71576.149999999994"/>
  </r>
  <r>
    <s v="TXN-20643"/>
    <x v="383"/>
    <x v="0"/>
    <x v="1"/>
    <x v="3"/>
    <x v="3"/>
    <n v="118.24"/>
    <x v="4"/>
    <s v="No"/>
    <n v="71457.91"/>
  </r>
  <r>
    <s v="TXN-20644"/>
    <x v="383"/>
    <x v="0"/>
    <x v="1"/>
    <x v="4"/>
    <x v="36"/>
    <n v="55.19"/>
    <x v="3"/>
    <s v="No"/>
    <n v="71402.720000000001"/>
  </r>
  <r>
    <s v="TXN-20645"/>
    <x v="384"/>
    <x v="0"/>
    <x v="1"/>
    <x v="3"/>
    <x v="3"/>
    <n v="25.09"/>
    <x v="3"/>
    <s v="No"/>
    <n v="71377.63"/>
  </r>
  <r>
    <s v="TXN-20646"/>
    <x v="385"/>
    <x v="0"/>
    <x v="0"/>
    <x v="7"/>
    <x v="43"/>
    <n v="1494.91"/>
    <x v="5"/>
    <s v="No"/>
    <n v="72872.539999999994"/>
  </r>
  <r>
    <s v="TXN-20647"/>
    <x v="385"/>
    <x v="1"/>
    <x v="1"/>
    <x v="5"/>
    <x v="41"/>
    <n v="170.72"/>
    <x v="1"/>
    <s v="Yes"/>
    <n v="72701.820000000007"/>
  </r>
  <r>
    <s v="TXN-20648"/>
    <x v="385"/>
    <x v="1"/>
    <x v="1"/>
    <x v="2"/>
    <x v="21"/>
    <n v="36.979999999999997"/>
    <x v="2"/>
    <s v="No"/>
    <n v="72664.84"/>
  </r>
  <r>
    <s v="TXN-20649"/>
    <x v="386"/>
    <x v="1"/>
    <x v="1"/>
    <x v="3"/>
    <x v="29"/>
    <n v="157.15"/>
    <x v="3"/>
    <s v="No"/>
    <n v="72507.69"/>
  </r>
  <r>
    <s v="TXN-20650"/>
    <x v="387"/>
    <x v="1"/>
    <x v="1"/>
    <x v="2"/>
    <x v="4"/>
    <n v="20.190000000000001"/>
    <x v="3"/>
    <s v="No"/>
    <n v="72487.5"/>
  </r>
  <r>
    <s v="TXN-20651"/>
    <x v="387"/>
    <x v="0"/>
    <x v="1"/>
    <x v="6"/>
    <x v="12"/>
    <n v="20.78"/>
    <x v="4"/>
    <s v="No"/>
    <n v="72466.720000000001"/>
  </r>
  <r>
    <s v="TXN-20652"/>
    <x v="387"/>
    <x v="0"/>
    <x v="1"/>
    <x v="4"/>
    <x v="36"/>
    <n v="80.64"/>
    <x v="3"/>
    <s v="No"/>
    <n v="72386.080000000002"/>
  </r>
  <r>
    <s v="TXN-20653"/>
    <x v="388"/>
    <x v="1"/>
    <x v="1"/>
    <x v="3"/>
    <x v="17"/>
    <n v="113.84"/>
    <x v="4"/>
    <s v="No"/>
    <n v="72272.240000000005"/>
  </r>
  <r>
    <s v="TXN-20654"/>
    <x v="389"/>
    <x v="0"/>
    <x v="1"/>
    <x v="3"/>
    <x v="13"/>
    <n v="88.8"/>
    <x v="3"/>
    <s v="No"/>
    <n v="72183.44"/>
  </r>
  <r>
    <s v="TXN-20655"/>
    <x v="389"/>
    <x v="1"/>
    <x v="1"/>
    <x v="4"/>
    <x v="35"/>
    <n v="36.380000000000003"/>
    <x v="4"/>
    <s v="No"/>
    <n v="72147.06"/>
  </r>
  <r>
    <s v="TXN-20656"/>
    <x v="390"/>
    <x v="0"/>
    <x v="0"/>
    <x v="0"/>
    <x v="40"/>
    <n v="4166.3900000000003"/>
    <x v="0"/>
    <s v="Yes"/>
    <n v="76313.45"/>
  </r>
  <r>
    <s v="TXN-20657"/>
    <x v="391"/>
    <x v="0"/>
    <x v="1"/>
    <x v="3"/>
    <x v="30"/>
    <n v="139.97"/>
    <x v="3"/>
    <s v="No"/>
    <n v="76173.48"/>
  </r>
  <r>
    <s v="TXN-20658"/>
    <x v="392"/>
    <x v="0"/>
    <x v="1"/>
    <x v="3"/>
    <x v="30"/>
    <n v="130.79"/>
    <x v="3"/>
    <s v="No"/>
    <n v="76042.69"/>
  </r>
  <r>
    <s v="TXN-20659"/>
    <x v="393"/>
    <x v="2"/>
    <x v="0"/>
    <x v="7"/>
    <x v="28"/>
    <n v="857.79"/>
    <x v="6"/>
    <s v="No"/>
    <n v="76900.479999999996"/>
  </r>
  <r>
    <s v="TXN-20660"/>
    <x v="393"/>
    <x v="0"/>
    <x v="1"/>
    <x v="3"/>
    <x v="3"/>
    <n v="39.979999999999997"/>
    <x v="4"/>
    <s v="No"/>
    <n v="76860.5"/>
  </r>
  <r>
    <s v="TXN-20661"/>
    <x v="393"/>
    <x v="0"/>
    <x v="1"/>
    <x v="2"/>
    <x v="33"/>
    <n v="65.349999999999994"/>
    <x v="3"/>
    <s v="No"/>
    <n v="76795.149999999994"/>
  </r>
  <r>
    <s v="TXN-20662"/>
    <x v="394"/>
    <x v="0"/>
    <x v="1"/>
    <x v="3"/>
    <x v="10"/>
    <n v="93.15"/>
    <x v="3"/>
    <s v="No"/>
    <n v="76702"/>
  </r>
  <r>
    <s v="TXN-20663"/>
    <x v="394"/>
    <x v="0"/>
    <x v="1"/>
    <x v="2"/>
    <x v="31"/>
    <n v="21.63"/>
    <x v="4"/>
    <s v="No"/>
    <n v="76680.37"/>
  </r>
  <r>
    <s v="TXN-20664"/>
    <x v="395"/>
    <x v="0"/>
    <x v="1"/>
    <x v="3"/>
    <x v="19"/>
    <n v="136.66999999999999"/>
    <x v="3"/>
    <s v="No"/>
    <n v="76543.7"/>
  </r>
  <r>
    <s v="TXN-20665"/>
    <x v="395"/>
    <x v="1"/>
    <x v="1"/>
    <x v="2"/>
    <x v="33"/>
    <n v="9.9700000000000006"/>
    <x v="4"/>
    <s v="No"/>
    <n v="76533.73"/>
  </r>
  <r>
    <s v="TXN-20666"/>
    <x v="395"/>
    <x v="1"/>
    <x v="1"/>
    <x v="6"/>
    <x v="14"/>
    <n v="12.58"/>
    <x v="2"/>
    <s v="No"/>
    <n v="76521.149999999994"/>
  </r>
  <r>
    <s v="TXN-20667"/>
    <x v="396"/>
    <x v="1"/>
    <x v="1"/>
    <x v="6"/>
    <x v="27"/>
    <n v="29.28"/>
    <x v="4"/>
    <s v="No"/>
    <n v="76491.87"/>
  </r>
  <r>
    <s v="TXN-20668"/>
    <x v="397"/>
    <x v="0"/>
    <x v="0"/>
    <x v="7"/>
    <x v="28"/>
    <n v="560.49"/>
    <x v="6"/>
    <s v="No"/>
    <n v="77052.36"/>
  </r>
  <r>
    <s v="TXN-20669"/>
    <x v="397"/>
    <x v="0"/>
    <x v="1"/>
    <x v="6"/>
    <x v="16"/>
    <n v="27.31"/>
    <x v="4"/>
    <s v="No"/>
    <n v="77025.05"/>
  </r>
  <r>
    <s v="TXN-20670"/>
    <x v="398"/>
    <x v="1"/>
    <x v="1"/>
    <x v="2"/>
    <x v="25"/>
    <n v="45.67"/>
    <x v="3"/>
    <s v="No"/>
    <n v="76979.38"/>
  </r>
  <r>
    <s v="TXN-20671"/>
    <x v="399"/>
    <x v="1"/>
    <x v="1"/>
    <x v="2"/>
    <x v="21"/>
    <n v="57.76"/>
    <x v="4"/>
    <s v="No"/>
    <n v="76921.62"/>
  </r>
  <r>
    <s v="TXN-20672"/>
    <x v="400"/>
    <x v="0"/>
    <x v="0"/>
    <x v="0"/>
    <x v="40"/>
    <n v="4842.45"/>
    <x v="0"/>
    <s v="Yes"/>
    <n v="81764.070000000007"/>
  </r>
  <r>
    <s v="TXN-20673"/>
    <x v="400"/>
    <x v="0"/>
    <x v="1"/>
    <x v="3"/>
    <x v="30"/>
    <n v="89.35"/>
    <x v="4"/>
    <s v="No"/>
    <n v="81674.720000000001"/>
  </r>
  <r>
    <s v="TXN-20674"/>
    <x v="401"/>
    <x v="0"/>
    <x v="1"/>
    <x v="2"/>
    <x v="21"/>
    <n v="74.05"/>
    <x v="2"/>
    <s v="No"/>
    <n v="81600.67"/>
  </r>
  <r>
    <s v="TXN-20675"/>
    <x v="401"/>
    <x v="0"/>
    <x v="1"/>
    <x v="6"/>
    <x v="8"/>
    <n v="38.36"/>
    <x v="4"/>
    <s v="No"/>
    <n v="81562.31"/>
  </r>
  <r>
    <s v="TXN-20676"/>
    <x v="402"/>
    <x v="1"/>
    <x v="1"/>
    <x v="3"/>
    <x v="19"/>
    <n v="168.89"/>
    <x v="4"/>
    <s v="No"/>
    <n v="81393.42"/>
  </r>
  <r>
    <s v="TXN-20677"/>
    <x v="403"/>
    <x v="1"/>
    <x v="1"/>
    <x v="4"/>
    <x v="15"/>
    <n v="75.63"/>
    <x v="3"/>
    <s v="No"/>
    <n v="81317.789999999994"/>
  </r>
  <r>
    <s v="TXN-20678"/>
    <x v="404"/>
    <x v="0"/>
    <x v="1"/>
    <x v="5"/>
    <x v="7"/>
    <n v="136.99"/>
    <x v="1"/>
    <s v="Yes"/>
    <n v="81180.800000000003"/>
  </r>
  <r>
    <s v="TXN-20679"/>
    <x v="404"/>
    <x v="1"/>
    <x v="1"/>
    <x v="3"/>
    <x v="10"/>
    <n v="51.19"/>
    <x v="3"/>
    <s v="No"/>
    <n v="81129.61"/>
  </r>
  <r>
    <s v="TXN-20680"/>
    <x v="404"/>
    <x v="1"/>
    <x v="1"/>
    <x v="2"/>
    <x v="2"/>
    <n v="66.92"/>
    <x v="4"/>
    <s v="No"/>
    <n v="81062.69"/>
  </r>
  <r>
    <s v="TXN-20681"/>
    <x v="405"/>
    <x v="0"/>
    <x v="1"/>
    <x v="5"/>
    <x v="26"/>
    <n v="108.82"/>
    <x v="1"/>
    <s v="Yes"/>
    <n v="80953.87"/>
  </r>
  <r>
    <s v="TXN-20682"/>
    <x v="406"/>
    <x v="2"/>
    <x v="0"/>
    <x v="7"/>
    <x v="28"/>
    <n v="912.35"/>
    <x v="5"/>
    <s v="No"/>
    <n v="81866.22"/>
  </r>
  <r>
    <s v="TXN-20683"/>
    <x v="406"/>
    <x v="0"/>
    <x v="1"/>
    <x v="5"/>
    <x v="26"/>
    <n v="156.41999999999999"/>
    <x v="1"/>
    <s v="Yes"/>
    <n v="81709.8"/>
  </r>
  <r>
    <s v="TXN-20684"/>
    <x v="406"/>
    <x v="1"/>
    <x v="1"/>
    <x v="6"/>
    <x v="16"/>
    <n v="30.35"/>
    <x v="4"/>
    <s v="No"/>
    <n v="81679.45"/>
  </r>
  <r>
    <s v="TXN-20685"/>
    <x v="407"/>
    <x v="1"/>
    <x v="1"/>
    <x v="5"/>
    <x v="9"/>
    <n v="106.61"/>
    <x v="1"/>
    <s v="Yes"/>
    <n v="81572.84"/>
  </r>
  <r>
    <s v="TXN-20686"/>
    <x v="407"/>
    <x v="0"/>
    <x v="1"/>
    <x v="2"/>
    <x v="4"/>
    <n v="56.1"/>
    <x v="3"/>
    <s v="No"/>
    <n v="81516.740000000005"/>
  </r>
  <r>
    <s v="TXN-20687"/>
    <x v="408"/>
    <x v="1"/>
    <x v="1"/>
    <x v="5"/>
    <x v="26"/>
    <n v="186.95"/>
    <x v="1"/>
    <s v="Yes"/>
    <n v="81329.789999999994"/>
  </r>
  <r>
    <s v="TXN-20688"/>
    <x v="409"/>
    <x v="0"/>
    <x v="1"/>
    <x v="3"/>
    <x v="10"/>
    <n v="30.75"/>
    <x v="3"/>
    <s v="No"/>
    <n v="81299.039999999994"/>
  </r>
  <r>
    <s v="TXN-20689"/>
    <x v="409"/>
    <x v="0"/>
    <x v="1"/>
    <x v="2"/>
    <x v="11"/>
    <n v="39.299999999999997"/>
    <x v="3"/>
    <s v="No"/>
    <n v="81259.740000000005"/>
  </r>
  <r>
    <s v="TXN-20690"/>
    <x v="410"/>
    <x v="0"/>
    <x v="1"/>
    <x v="2"/>
    <x v="18"/>
    <n v="46.88"/>
    <x v="3"/>
    <s v="No"/>
    <n v="81212.86"/>
  </r>
  <r>
    <s v="TXN-20691"/>
    <x v="410"/>
    <x v="1"/>
    <x v="1"/>
    <x v="6"/>
    <x v="20"/>
    <n v="52.05"/>
    <x v="4"/>
    <s v="No"/>
    <n v="81160.81"/>
  </r>
  <r>
    <s v="TXN-20692"/>
    <x v="411"/>
    <x v="1"/>
    <x v="1"/>
    <x v="3"/>
    <x v="13"/>
    <n v="93.81"/>
    <x v="3"/>
    <s v="No"/>
    <n v="81067"/>
  </r>
  <r>
    <s v="TXN-20693"/>
    <x v="412"/>
    <x v="0"/>
    <x v="0"/>
    <x v="0"/>
    <x v="40"/>
    <n v="4306.01"/>
    <x v="0"/>
    <s v="Yes"/>
    <n v="85373.01"/>
  </r>
  <r>
    <s v="TXN-20694"/>
    <x v="412"/>
    <x v="0"/>
    <x v="1"/>
    <x v="2"/>
    <x v="2"/>
    <n v="55.53"/>
    <x v="3"/>
    <s v="No"/>
    <n v="85317.48"/>
  </r>
  <r>
    <s v="TXN-20695"/>
    <x v="413"/>
    <x v="1"/>
    <x v="1"/>
    <x v="2"/>
    <x v="4"/>
    <n v="15.91"/>
    <x v="3"/>
    <s v="No"/>
    <n v="85301.57"/>
  </r>
  <r>
    <s v="TXN-20696"/>
    <x v="413"/>
    <x v="1"/>
    <x v="1"/>
    <x v="4"/>
    <x v="6"/>
    <n v="62.09"/>
    <x v="4"/>
    <s v="No"/>
    <n v="85239.48"/>
  </r>
  <r>
    <s v="TXN-20697"/>
    <x v="414"/>
    <x v="1"/>
    <x v="1"/>
    <x v="3"/>
    <x v="19"/>
    <n v="24.33"/>
    <x v="4"/>
    <s v="No"/>
    <n v="85215.15"/>
  </r>
  <r>
    <s v="TXN-20698"/>
    <x v="415"/>
    <x v="1"/>
    <x v="1"/>
    <x v="2"/>
    <x v="11"/>
    <n v="58"/>
    <x v="2"/>
    <s v="No"/>
    <n v="85157.15"/>
  </r>
  <r>
    <s v="TXN-20699"/>
    <x v="415"/>
    <x v="0"/>
    <x v="1"/>
    <x v="4"/>
    <x v="6"/>
    <n v="88.38"/>
    <x v="4"/>
    <s v="No"/>
    <n v="85068.77"/>
  </r>
  <r>
    <s v="TXN-20700"/>
    <x v="416"/>
    <x v="0"/>
    <x v="1"/>
    <x v="2"/>
    <x v="18"/>
    <n v="70.790000000000006"/>
    <x v="4"/>
    <s v="No"/>
    <n v="84997.98"/>
  </r>
  <r>
    <s v="TXN-20701"/>
    <x v="417"/>
    <x v="2"/>
    <x v="0"/>
    <x v="7"/>
    <x v="43"/>
    <n v="538.44000000000005"/>
    <x v="5"/>
    <s v="No"/>
    <n v="85536.42"/>
  </r>
  <r>
    <s v="TXN-20702"/>
    <x v="417"/>
    <x v="1"/>
    <x v="1"/>
    <x v="3"/>
    <x v="30"/>
    <n v="53.11"/>
    <x v="4"/>
    <s v="No"/>
    <n v="85483.31"/>
  </r>
  <r>
    <s v="TXN-20703"/>
    <x v="418"/>
    <x v="1"/>
    <x v="1"/>
    <x v="3"/>
    <x v="10"/>
    <n v="34.58"/>
    <x v="3"/>
    <s v="No"/>
    <n v="85448.73"/>
  </r>
  <r>
    <s v="TXN-20704"/>
    <x v="419"/>
    <x v="0"/>
    <x v="0"/>
    <x v="7"/>
    <x v="28"/>
    <n v="1320.76"/>
    <x v="6"/>
    <s v="No"/>
    <n v="86769.49"/>
  </r>
  <r>
    <s v="TXN-20705"/>
    <x v="419"/>
    <x v="1"/>
    <x v="1"/>
    <x v="2"/>
    <x v="21"/>
    <n v="26.53"/>
    <x v="4"/>
    <s v="No"/>
    <n v="86742.96"/>
  </r>
  <r>
    <s v="TXN-20706"/>
    <x v="419"/>
    <x v="1"/>
    <x v="1"/>
    <x v="4"/>
    <x v="38"/>
    <n v="95.73"/>
    <x v="4"/>
    <s v="No"/>
    <n v="86647.23"/>
  </r>
  <r>
    <s v="TXN-20707"/>
    <x v="420"/>
    <x v="1"/>
    <x v="1"/>
    <x v="6"/>
    <x v="14"/>
    <n v="39.630000000000003"/>
    <x v="4"/>
    <s v="No"/>
    <n v="86607.6"/>
  </r>
  <r>
    <s v="TXN-20708"/>
    <x v="421"/>
    <x v="1"/>
    <x v="1"/>
    <x v="2"/>
    <x v="21"/>
    <n v="14.33"/>
    <x v="2"/>
    <s v="No"/>
    <n v="86593.27"/>
  </r>
  <r>
    <s v="TXN-20709"/>
    <x v="421"/>
    <x v="0"/>
    <x v="1"/>
    <x v="6"/>
    <x v="23"/>
    <n v="9.59"/>
    <x v="2"/>
    <s v="No"/>
    <n v="86583.679999999993"/>
  </r>
  <r>
    <s v="TXN-20710"/>
    <x v="422"/>
    <x v="0"/>
    <x v="1"/>
    <x v="2"/>
    <x v="18"/>
    <n v="16.43"/>
    <x v="3"/>
    <s v="No"/>
    <n v="86567.25"/>
  </r>
  <r>
    <s v="TXN-20711"/>
    <x v="423"/>
    <x v="0"/>
    <x v="1"/>
    <x v="3"/>
    <x v="10"/>
    <n v="102.31"/>
    <x v="3"/>
    <s v="No"/>
    <n v="86464.94"/>
  </r>
  <r>
    <s v="TXN-20712"/>
    <x v="423"/>
    <x v="0"/>
    <x v="1"/>
    <x v="6"/>
    <x v="12"/>
    <n v="47.42"/>
    <x v="4"/>
    <s v="No"/>
    <n v="86417.52"/>
  </r>
  <r>
    <s v="TXN-20713"/>
    <x v="424"/>
    <x v="0"/>
    <x v="1"/>
    <x v="2"/>
    <x v="25"/>
    <n v="27.6"/>
    <x v="3"/>
    <s v="No"/>
    <n v="86389.92"/>
  </r>
  <r>
    <s v="TXN-20714"/>
    <x v="424"/>
    <x v="0"/>
    <x v="1"/>
    <x v="6"/>
    <x v="12"/>
    <n v="6.88"/>
    <x v="4"/>
    <s v="No"/>
    <n v="86383.039999999994"/>
  </r>
  <r>
    <s v="TXN-20715"/>
    <x v="425"/>
    <x v="0"/>
    <x v="1"/>
    <x v="2"/>
    <x v="5"/>
    <n v="78.650000000000006"/>
    <x v="2"/>
    <s v="No"/>
    <n v="86304.39"/>
  </r>
  <r>
    <s v="TXN-20716"/>
    <x v="426"/>
    <x v="0"/>
    <x v="1"/>
    <x v="3"/>
    <x v="3"/>
    <n v="130.65"/>
    <x v="3"/>
    <s v="No"/>
    <n v="86173.74"/>
  </r>
  <r>
    <s v="TXN-20717"/>
    <x v="427"/>
    <x v="0"/>
    <x v="0"/>
    <x v="0"/>
    <x v="40"/>
    <n v="5246.62"/>
    <x v="0"/>
    <s v="Yes"/>
    <n v="91420.36"/>
  </r>
  <r>
    <s v="TXN-20718"/>
    <x v="427"/>
    <x v="0"/>
    <x v="1"/>
    <x v="1"/>
    <x v="1"/>
    <n v="1551.7"/>
    <x v="1"/>
    <s v="Yes"/>
    <n v="89868.66"/>
  </r>
  <r>
    <s v="TXN-20719"/>
    <x v="428"/>
    <x v="0"/>
    <x v="1"/>
    <x v="3"/>
    <x v="3"/>
    <n v="39.549999999999997"/>
    <x v="3"/>
    <s v="No"/>
    <n v="89829.11"/>
  </r>
  <r>
    <s v="TXN-20720"/>
    <x v="428"/>
    <x v="1"/>
    <x v="1"/>
    <x v="2"/>
    <x v="25"/>
    <n v="45"/>
    <x v="4"/>
    <s v="No"/>
    <n v="89784.11"/>
  </r>
  <r>
    <s v="TXN-20721"/>
    <x v="428"/>
    <x v="1"/>
    <x v="1"/>
    <x v="4"/>
    <x v="6"/>
    <n v="84.68"/>
    <x v="4"/>
    <s v="No"/>
    <n v="89699.43"/>
  </r>
  <r>
    <s v="TXN-20722"/>
    <x v="429"/>
    <x v="0"/>
    <x v="1"/>
    <x v="3"/>
    <x v="19"/>
    <n v="178.53"/>
    <x v="4"/>
    <s v="No"/>
    <n v="89520.9"/>
  </r>
  <r>
    <s v="TXN-20723"/>
    <x v="429"/>
    <x v="0"/>
    <x v="1"/>
    <x v="2"/>
    <x v="2"/>
    <n v="35.32"/>
    <x v="2"/>
    <s v="No"/>
    <n v="89485.58"/>
  </r>
  <r>
    <s v="TXN-20724"/>
    <x v="430"/>
    <x v="1"/>
    <x v="1"/>
    <x v="2"/>
    <x v="18"/>
    <n v="79.63"/>
    <x v="4"/>
    <s v="No"/>
    <n v="89405.95"/>
  </r>
  <r>
    <s v="TXN-20725"/>
    <x v="431"/>
    <x v="1"/>
    <x v="1"/>
    <x v="6"/>
    <x v="27"/>
    <n v="56.77"/>
    <x v="4"/>
    <s v="No"/>
    <n v="89349.18"/>
  </r>
  <r>
    <s v="TXN-20726"/>
    <x v="432"/>
    <x v="0"/>
    <x v="1"/>
    <x v="5"/>
    <x v="34"/>
    <n v="60.15"/>
    <x v="1"/>
    <s v="Yes"/>
    <n v="89289.03"/>
  </r>
  <r>
    <s v="TXN-20727"/>
    <x v="432"/>
    <x v="1"/>
    <x v="1"/>
    <x v="2"/>
    <x v="25"/>
    <n v="58.85"/>
    <x v="3"/>
    <s v="No"/>
    <n v="89230.18"/>
  </r>
  <r>
    <s v="TXN-20728"/>
    <x v="432"/>
    <x v="1"/>
    <x v="1"/>
    <x v="6"/>
    <x v="12"/>
    <n v="49.09"/>
    <x v="3"/>
    <s v="No"/>
    <n v="89181.09"/>
  </r>
  <r>
    <s v="TXN-20729"/>
    <x v="433"/>
    <x v="1"/>
    <x v="1"/>
    <x v="6"/>
    <x v="23"/>
    <n v="11.5"/>
    <x v="2"/>
    <s v="No"/>
    <n v="89169.59"/>
  </r>
  <r>
    <s v="TXN-20730"/>
    <x v="434"/>
    <x v="0"/>
    <x v="1"/>
    <x v="2"/>
    <x v="31"/>
    <n v="28.27"/>
    <x v="4"/>
    <s v="No"/>
    <n v="89141.32"/>
  </r>
  <r>
    <s v="TXN-20731"/>
    <x v="434"/>
    <x v="0"/>
    <x v="1"/>
    <x v="6"/>
    <x v="16"/>
    <n v="50.99"/>
    <x v="3"/>
    <s v="No"/>
    <n v="89090.33"/>
  </r>
  <r>
    <s v="TXN-20732"/>
    <x v="435"/>
    <x v="1"/>
    <x v="1"/>
    <x v="2"/>
    <x v="25"/>
    <n v="31.04"/>
    <x v="4"/>
    <s v="No"/>
    <n v="89059.29"/>
  </r>
  <r>
    <s v="TXN-20733"/>
    <x v="435"/>
    <x v="1"/>
    <x v="1"/>
    <x v="4"/>
    <x v="36"/>
    <n v="68.25"/>
    <x v="3"/>
    <s v="No"/>
    <n v="88991.039999999994"/>
  </r>
  <r>
    <s v="TXN-20734"/>
    <x v="436"/>
    <x v="0"/>
    <x v="1"/>
    <x v="2"/>
    <x v="4"/>
    <n v="42.69"/>
    <x v="3"/>
    <s v="No"/>
    <n v="88948.35"/>
  </r>
  <r>
    <s v="TXN-20735"/>
    <x v="437"/>
    <x v="0"/>
    <x v="0"/>
    <x v="0"/>
    <x v="40"/>
    <n v="4612.0600000000004"/>
    <x v="0"/>
    <s v="Yes"/>
    <n v="93560.41"/>
  </r>
  <r>
    <s v="TXN-20736"/>
    <x v="437"/>
    <x v="1"/>
    <x v="1"/>
    <x v="3"/>
    <x v="29"/>
    <n v="123.16"/>
    <x v="3"/>
    <s v="No"/>
    <n v="93437.25"/>
  </r>
  <r>
    <s v="TXN-20737"/>
    <x v="437"/>
    <x v="0"/>
    <x v="1"/>
    <x v="2"/>
    <x v="5"/>
    <n v="60.46"/>
    <x v="4"/>
    <s v="No"/>
    <n v="93376.79"/>
  </r>
  <r>
    <s v="TXN-20738"/>
    <x v="437"/>
    <x v="1"/>
    <x v="1"/>
    <x v="4"/>
    <x v="36"/>
    <n v="48.09"/>
    <x v="3"/>
    <s v="No"/>
    <n v="93328.7"/>
  </r>
  <r>
    <s v="TXN-20739"/>
    <x v="438"/>
    <x v="2"/>
    <x v="0"/>
    <x v="7"/>
    <x v="42"/>
    <n v="846.67"/>
    <x v="6"/>
    <s v="No"/>
    <n v="94175.37"/>
  </r>
  <r>
    <s v="TXN-20740"/>
    <x v="438"/>
    <x v="0"/>
    <x v="1"/>
    <x v="2"/>
    <x v="4"/>
    <n v="75.38"/>
    <x v="4"/>
    <s v="No"/>
    <n v="94099.99"/>
  </r>
  <r>
    <s v="TXN-20741"/>
    <x v="439"/>
    <x v="0"/>
    <x v="0"/>
    <x v="7"/>
    <x v="43"/>
    <n v="351.96"/>
    <x v="5"/>
    <s v="No"/>
    <n v="94451.95"/>
  </r>
  <r>
    <s v="TXN-20742"/>
    <x v="439"/>
    <x v="0"/>
    <x v="1"/>
    <x v="2"/>
    <x v="11"/>
    <n v="65.900000000000006"/>
    <x v="3"/>
    <s v="No"/>
    <n v="94386.05"/>
  </r>
  <r>
    <s v="TXN-20743"/>
    <x v="440"/>
    <x v="0"/>
    <x v="1"/>
    <x v="3"/>
    <x v="13"/>
    <n v="77.41"/>
    <x v="3"/>
    <s v="No"/>
    <n v="94308.64"/>
  </r>
  <r>
    <s v="TXN-20744"/>
    <x v="440"/>
    <x v="0"/>
    <x v="1"/>
    <x v="6"/>
    <x v="14"/>
    <n v="36.020000000000003"/>
    <x v="2"/>
    <s v="No"/>
    <n v="94272.62"/>
  </r>
  <r>
    <s v="TXN-20745"/>
    <x v="441"/>
    <x v="1"/>
    <x v="1"/>
    <x v="2"/>
    <x v="2"/>
    <n v="64.41"/>
    <x v="4"/>
    <s v="No"/>
    <n v="94208.21"/>
  </r>
  <r>
    <s v="TXN-20746"/>
    <x v="442"/>
    <x v="0"/>
    <x v="1"/>
    <x v="2"/>
    <x v="11"/>
    <n v="58.36"/>
    <x v="3"/>
    <s v="No"/>
    <n v="94149.85"/>
  </r>
  <r>
    <s v="TXN-20747"/>
    <x v="442"/>
    <x v="1"/>
    <x v="1"/>
    <x v="6"/>
    <x v="20"/>
    <n v="55.39"/>
    <x v="2"/>
    <s v="No"/>
    <n v="94094.46"/>
  </r>
  <r>
    <s v="TXN-20748"/>
    <x v="443"/>
    <x v="0"/>
    <x v="1"/>
    <x v="2"/>
    <x v="31"/>
    <n v="46.77"/>
    <x v="2"/>
    <s v="No"/>
    <n v="94047.69"/>
  </r>
  <r>
    <s v="TXN-20749"/>
    <x v="444"/>
    <x v="0"/>
    <x v="1"/>
    <x v="2"/>
    <x v="31"/>
    <n v="60"/>
    <x v="2"/>
    <s v="No"/>
    <n v="93987.69"/>
  </r>
  <r>
    <s v="TXN-20750"/>
    <x v="445"/>
    <x v="1"/>
    <x v="1"/>
    <x v="2"/>
    <x v="33"/>
    <n v="73.94"/>
    <x v="2"/>
    <s v="No"/>
    <n v="93913.75"/>
  </r>
  <r>
    <s v="TXN-20751"/>
    <x v="445"/>
    <x v="1"/>
    <x v="1"/>
    <x v="6"/>
    <x v="16"/>
    <n v="31.88"/>
    <x v="2"/>
    <s v="No"/>
    <n v="93881.87"/>
  </r>
  <r>
    <s v="TXN-20752"/>
    <x v="446"/>
    <x v="0"/>
    <x v="1"/>
    <x v="3"/>
    <x v="3"/>
    <n v="102.33"/>
    <x v="3"/>
    <s v="No"/>
    <n v="93779.54"/>
  </r>
  <r>
    <s v="TXN-20753"/>
    <x v="447"/>
    <x v="0"/>
    <x v="1"/>
    <x v="2"/>
    <x v="4"/>
    <n v="15.3"/>
    <x v="4"/>
    <s v="No"/>
    <n v="93764.24"/>
  </r>
  <r>
    <s v="TXN-20754"/>
    <x v="447"/>
    <x v="1"/>
    <x v="1"/>
    <x v="6"/>
    <x v="27"/>
    <n v="39.340000000000003"/>
    <x v="3"/>
    <s v="No"/>
    <n v="93724.9"/>
  </r>
  <r>
    <s v="TXN-20755"/>
    <x v="448"/>
    <x v="2"/>
    <x v="0"/>
    <x v="7"/>
    <x v="43"/>
    <n v="1071.47"/>
    <x v="5"/>
    <s v="No"/>
    <n v="94796.37"/>
  </r>
  <r>
    <s v="TXN-20756"/>
    <x v="448"/>
    <x v="0"/>
    <x v="1"/>
    <x v="6"/>
    <x v="12"/>
    <n v="47.02"/>
    <x v="4"/>
    <s v="No"/>
    <n v="94749.35"/>
  </r>
  <r>
    <s v="TXN-20757"/>
    <x v="449"/>
    <x v="1"/>
    <x v="1"/>
    <x v="6"/>
    <x v="12"/>
    <n v="37.799999999999997"/>
    <x v="2"/>
    <s v="No"/>
    <n v="94711.55"/>
  </r>
  <r>
    <s v="TXN-20758"/>
    <x v="450"/>
    <x v="0"/>
    <x v="0"/>
    <x v="0"/>
    <x v="40"/>
    <n v="4675.22"/>
    <x v="0"/>
    <s v="Yes"/>
    <n v="99386.77"/>
  </r>
  <r>
    <s v="TXN-20759"/>
    <x v="450"/>
    <x v="0"/>
    <x v="1"/>
    <x v="1"/>
    <x v="39"/>
    <n v="1966.91"/>
    <x v="1"/>
    <s v="Yes"/>
    <n v="97419.86"/>
  </r>
  <r>
    <s v="TXN-20760"/>
    <x v="451"/>
    <x v="0"/>
    <x v="1"/>
    <x v="2"/>
    <x v="21"/>
    <n v="32.06"/>
    <x v="3"/>
    <s v="No"/>
    <n v="97387.8"/>
  </r>
  <r>
    <s v="TXN-20761"/>
    <x v="452"/>
    <x v="0"/>
    <x v="1"/>
    <x v="3"/>
    <x v="29"/>
    <n v="168.7"/>
    <x v="4"/>
    <s v="No"/>
    <n v="97219.1"/>
  </r>
  <r>
    <s v="TXN-20762"/>
    <x v="452"/>
    <x v="1"/>
    <x v="1"/>
    <x v="4"/>
    <x v="22"/>
    <n v="16.34"/>
    <x v="4"/>
    <s v="No"/>
    <n v="97202.76"/>
  </r>
  <r>
    <s v="TXN-20763"/>
    <x v="453"/>
    <x v="0"/>
    <x v="0"/>
    <x v="7"/>
    <x v="43"/>
    <n v="1281.8499999999999"/>
    <x v="6"/>
    <s v="No"/>
    <n v="98484.61"/>
  </r>
  <r>
    <s v="TXN-20764"/>
    <x v="453"/>
    <x v="0"/>
    <x v="1"/>
    <x v="2"/>
    <x v="25"/>
    <n v="63.35"/>
    <x v="2"/>
    <s v="No"/>
    <n v="98421.26"/>
  </r>
  <r>
    <s v="TXN-20765"/>
    <x v="453"/>
    <x v="0"/>
    <x v="1"/>
    <x v="6"/>
    <x v="23"/>
    <n v="44.36"/>
    <x v="4"/>
    <s v="No"/>
    <n v="98376.9"/>
  </r>
  <r>
    <s v="TXN-20766"/>
    <x v="454"/>
    <x v="1"/>
    <x v="1"/>
    <x v="6"/>
    <x v="20"/>
    <n v="33.39"/>
    <x v="2"/>
    <s v="No"/>
    <n v="98343.51"/>
  </r>
  <r>
    <s v="TXN-20767"/>
    <x v="454"/>
    <x v="0"/>
    <x v="1"/>
    <x v="4"/>
    <x v="38"/>
    <n v="94.5"/>
    <x v="3"/>
    <s v="No"/>
    <n v="98249.01"/>
  </r>
  <r>
    <s v="TXN-20768"/>
    <x v="455"/>
    <x v="1"/>
    <x v="1"/>
    <x v="5"/>
    <x v="26"/>
    <n v="173.88"/>
    <x v="1"/>
    <s v="Yes"/>
    <n v="98075.13"/>
  </r>
  <r>
    <s v="TXN-20769"/>
    <x v="455"/>
    <x v="0"/>
    <x v="1"/>
    <x v="3"/>
    <x v="17"/>
    <n v="75.92"/>
    <x v="4"/>
    <s v="No"/>
    <n v="97999.21"/>
  </r>
  <r>
    <s v="TXN-20770"/>
    <x v="456"/>
    <x v="0"/>
    <x v="1"/>
    <x v="3"/>
    <x v="19"/>
    <n v="144.06"/>
    <x v="4"/>
    <s v="No"/>
    <n v="97855.15"/>
  </r>
  <r>
    <s v="TXN-20771"/>
    <x v="456"/>
    <x v="1"/>
    <x v="1"/>
    <x v="2"/>
    <x v="11"/>
    <n v="48.03"/>
    <x v="2"/>
    <s v="No"/>
    <n v="97807.12"/>
  </r>
  <r>
    <s v="TXN-20772"/>
    <x v="456"/>
    <x v="1"/>
    <x v="1"/>
    <x v="6"/>
    <x v="16"/>
    <n v="58.09"/>
    <x v="2"/>
    <s v="No"/>
    <n v="97749.03"/>
  </r>
  <r>
    <s v="TXN-20773"/>
    <x v="457"/>
    <x v="0"/>
    <x v="1"/>
    <x v="3"/>
    <x v="29"/>
    <n v="138"/>
    <x v="3"/>
    <s v="No"/>
    <n v="97611.03"/>
  </r>
  <r>
    <s v="TXN-20774"/>
    <x v="458"/>
    <x v="0"/>
    <x v="1"/>
    <x v="2"/>
    <x v="5"/>
    <n v="66.7"/>
    <x v="2"/>
    <s v="No"/>
    <n v="97544.33"/>
  </r>
  <r>
    <s v="TXN-20775"/>
    <x v="459"/>
    <x v="0"/>
    <x v="1"/>
    <x v="2"/>
    <x v="21"/>
    <n v="39.659999999999997"/>
    <x v="2"/>
    <s v="No"/>
    <n v="97504.67"/>
  </r>
  <r>
    <s v="TXN-20776"/>
    <x v="460"/>
    <x v="2"/>
    <x v="0"/>
    <x v="7"/>
    <x v="43"/>
    <n v="662.98"/>
    <x v="6"/>
    <s v="No"/>
    <n v="98167.65"/>
  </r>
  <r>
    <s v="TXN-20777"/>
    <x v="460"/>
    <x v="0"/>
    <x v="1"/>
    <x v="6"/>
    <x v="16"/>
    <n v="47.06"/>
    <x v="4"/>
    <s v="No"/>
    <n v="98120.59"/>
  </r>
  <r>
    <s v="TXN-20778"/>
    <x v="461"/>
    <x v="0"/>
    <x v="1"/>
    <x v="3"/>
    <x v="17"/>
    <n v="149.35"/>
    <x v="4"/>
    <s v="No"/>
    <n v="97971.24"/>
  </r>
  <r>
    <s v="TXN-20779"/>
    <x v="462"/>
    <x v="0"/>
    <x v="1"/>
    <x v="2"/>
    <x v="18"/>
    <n v="53.01"/>
    <x v="2"/>
    <s v="No"/>
    <n v="97918.23"/>
  </r>
  <r>
    <s v="TXN-20780"/>
    <x v="463"/>
    <x v="0"/>
    <x v="0"/>
    <x v="0"/>
    <x v="0"/>
    <n v="5484.04"/>
    <x v="0"/>
    <s v="Yes"/>
    <n v="103402.27"/>
  </r>
  <r>
    <s v="TXN-20781"/>
    <x v="463"/>
    <x v="1"/>
    <x v="1"/>
    <x v="6"/>
    <x v="20"/>
    <n v="27.19"/>
    <x v="2"/>
    <s v="No"/>
    <n v="103375.08"/>
  </r>
  <r>
    <s v="TXN-20782"/>
    <x v="464"/>
    <x v="0"/>
    <x v="1"/>
    <x v="2"/>
    <x v="25"/>
    <n v="75.099999999999994"/>
    <x v="3"/>
    <s v="No"/>
    <n v="103299.98"/>
  </r>
  <r>
    <s v="TXN-20783"/>
    <x v="464"/>
    <x v="0"/>
    <x v="1"/>
    <x v="4"/>
    <x v="35"/>
    <n v="14.16"/>
    <x v="3"/>
    <s v="No"/>
    <n v="103285.82"/>
  </r>
  <r>
    <s v="TXN-20784"/>
    <x v="465"/>
    <x v="0"/>
    <x v="1"/>
    <x v="3"/>
    <x v="30"/>
    <n v="19.899999999999999"/>
    <x v="3"/>
    <s v="No"/>
    <n v="103265.92"/>
  </r>
  <r>
    <s v="TXN-20785"/>
    <x v="466"/>
    <x v="0"/>
    <x v="1"/>
    <x v="6"/>
    <x v="8"/>
    <n v="52.74"/>
    <x v="4"/>
    <s v="No"/>
    <n v="103213.18"/>
  </r>
  <r>
    <s v="TXN-20786"/>
    <x v="466"/>
    <x v="1"/>
    <x v="1"/>
    <x v="4"/>
    <x v="15"/>
    <n v="64.78"/>
    <x v="4"/>
    <s v="No"/>
    <n v="103148.4"/>
  </r>
  <r>
    <s v="TXN-20787"/>
    <x v="467"/>
    <x v="1"/>
    <x v="1"/>
    <x v="2"/>
    <x v="5"/>
    <n v="38.94"/>
    <x v="2"/>
    <s v="No"/>
    <n v="103109.46"/>
  </r>
  <r>
    <s v="TXN-20788"/>
    <x v="468"/>
    <x v="0"/>
    <x v="1"/>
    <x v="2"/>
    <x v="25"/>
    <n v="33.450000000000003"/>
    <x v="3"/>
    <s v="No"/>
    <n v="103076.01"/>
  </r>
  <r>
    <s v="TXN-20789"/>
    <x v="468"/>
    <x v="0"/>
    <x v="1"/>
    <x v="6"/>
    <x v="23"/>
    <n v="31.99"/>
    <x v="2"/>
    <s v="No"/>
    <n v="103044.02"/>
  </r>
  <r>
    <s v="TXN-20790"/>
    <x v="469"/>
    <x v="1"/>
    <x v="1"/>
    <x v="2"/>
    <x v="4"/>
    <n v="54.54"/>
    <x v="3"/>
    <s v="No"/>
    <n v="102989.48"/>
  </r>
  <r>
    <s v="TXN-20791"/>
    <x v="470"/>
    <x v="1"/>
    <x v="1"/>
    <x v="3"/>
    <x v="19"/>
    <n v="150.80000000000001"/>
    <x v="4"/>
    <s v="No"/>
    <n v="102838.68"/>
  </r>
  <r>
    <s v="TXN-20792"/>
    <x v="470"/>
    <x v="1"/>
    <x v="1"/>
    <x v="2"/>
    <x v="2"/>
    <n v="60.64"/>
    <x v="3"/>
    <s v="No"/>
    <n v="102778.04"/>
  </r>
  <r>
    <s v="TXN-20793"/>
    <x v="471"/>
    <x v="0"/>
    <x v="1"/>
    <x v="2"/>
    <x v="31"/>
    <n v="49.65"/>
    <x v="3"/>
    <s v="No"/>
    <n v="102728.39"/>
  </r>
  <r>
    <s v="TXN-20794"/>
    <x v="472"/>
    <x v="1"/>
    <x v="1"/>
    <x v="3"/>
    <x v="17"/>
    <n v="148.86000000000001"/>
    <x v="4"/>
    <s v="No"/>
    <n v="102579.53"/>
  </r>
  <r>
    <s v="TXN-20795"/>
    <x v="473"/>
    <x v="0"/>
    <x v="0"/>
    <x v="7"/>
    <x v="42"/>
    <n v="1225.78"/>
    <x v="6"/>
    <s v="No"/>
    <n v="103805.31"/>
  </r>
  <r>
    <s v="TXN-20796"/>
    <x v="473"/>
    <x v="0"/>
    <x v="1"/>
    <x v="3"/>
    <x v="29"/>
    <n v="78.45"/>
    <x v="3"/>
    <s v="No"/>
    <n v="103726.86"/>
  </r>
  <r>
    <s v="TXN-20797"/>
    <x v="473"/>
    <x v="1"/>
    <x v="1"/>
    <x v="6"/>
    <x v="20"/>
    <n v="41.12"/>
    <x v="4"/>
    <s v="No"/>
    <n v="103685.74"/>
  </r>
  <r>
    <s v="TXN-20798"/>
    <x v="474"/>
    <x v="0"/>
    <x v="1"/>
    <x v="2"/>
    <x v="4"/>
    <n v="43.24"/>
    <x v="2"/>
    <s v="No"/>
    <n v="103642.5"/>
  </r>
  <r>
    <s v="TXN-20799"/>
    <x v="474"/>
    <x v="0"/>
    <x v="1"/>
    <x v="6"/>
    <x v="8"/>
    <n v="43.88"/>
    <x v="2"/>
    <s v="No"/>
    <n v="103598.62"/>
  </r>
  <r>
    <s v="TXN-20800"/>
    <x v="475"/>
    <x v="1"/>
    <x v="1"/>
    <x v="6"/>
    <x v="20"/>
    <n v="11.73"/>
    <x v="4"/>
    <s v="No"/>
    <n v="103586.89"/>
  </r>
  <r>
    <s v="TXN-20801"/>
    <x v="476"/>
    <x v="0"/>
    <x v="1"/>
    <x v="1"/>
    <x v="1"/>
    <n v="1464.87"/>
    <x v="1"/>
    <s v="Yes"/>
    <n v="102122.02"/>
  </r>
  <r>
    <s v="TXN-20802"/>
    <x v="477"/>
    <x v="0"/>
    <x v="1"/>
    <x v="6"/>
    <x v="14"/>
    <n v="54.56"/>
    <x v="2"/>
    <s v="No"/>
    <n v="102067.46"/>
  </r>
  <r>
    <s v="TXN-20803"/>
    <x v="478"/>
    <x v="0"/>
    <x v="1"/>
    <x v="6"/>
    <x v="27"/>
    <n v="11.64"/>
    <x v="3"/>
    <s v="No"/>
    <n v="102055.82"/>
  </r>
  <r>
    <s v="TXN-20804"/>
    <x v="479"/>
    <x v="0"/>
    <x v="1"/>
    <x v="2"/>
    <x v="11"/>
    <n v="40.47"/>
    <x v="3"/>
    <s v="No"/>
    <n v="102015.35"/>
  </r>
  <r>
    <s v="TXN-20805"/>
    <x v="479"/>
    <x v="0"/>
    <x v="1"/>
    <x v="4"/>
    <x v="35"/>
    <n v="98.05"/>
    <x v="4"/>
    <s v="No"/>
    <n v="101917.3"/>
  </r>
  <r>
    <s v="TXN-20806"/>
    <x v="480"/>
    <x v="1"/>
    <x v="1"/>
    <x v="6"/>
    <x v="14"/>
    <n v="53.01"/>
    <x v="3"/>
    <s v="No"/>
    <n v="101864.29"/>
  </r>
  <r>
    <s v="TXN-20807"/>
    <x v="481"/>
    <x v="1"/>
    <x v="1"/>
    <x v="5"/>
    <x v="9"/>
    <n v="224.7"/>
    <x v="1"/>
    <s v="Yes"/>
    <n v="101639.59"/>
  </r>
  <r>
    <s v="TXN-20808"/>
    <x v="481"/>
    <x v="1"/>
    <x v="1"/>
    <x v="2"/>
    <x v="2"/>
    <n v="19.2"/>
    <x v="3"/>
    <s v="No"/>
    <n v="101620.39"/>
  </r>
  <r>
    <s v="TXN-20809"/>
    <x v="481"/>
    <x v="0"/>
    <x v="1"/>
    <x v="6"/>
    <x v="27"/>
    <n v="22.62"/>
    <x v="4"/>
    <s v="No"/>
    <n v="101597.77"/>
  </r>
  <r>
    <s v="TXN-20810"/>
    <x v="482"/>
    <x v="0"/>
    <x v="1"/>
    <x v="5"/>
    <x v="9"/>
    <n v="98.85"/>
    <x v="1"/>
    <s v="Yes"/>
    <n v="101498.92"/>
  </r>
  <r>
    <s v="TXN-20811"/>
    <x v="482"/>
    <x v="1"/>
    <x v="1"/>
    <x v="6"/>
    <x v="16"/>
    <n v="23.75"/>
    <x v="2"/>
    <s v="No"/>
    <n v="101475.17"/>
  </r>
  <r>
    <s v="TXN-20812"/>
    <x v="482"/>
    <x v="1"/>
    <x v="1"/>
    <x v="4"/>
    <x v="37"/>
    <n v="82.41"/>
    <x v="3"/>
    <s v="No"/>
    <n v="101392.76"/>
  </r>
  <r>
    <s v="TXN-20813"/>
    <x v="483"/>
    <x v="0"/>
    <x v="1"/>
    <x v="6"/>
    <x v="8"/>
    <n v="34.630000000000003"/>
    <x v="2"/>
    <s v="No"/>
    <n v="101358.13"/>
  </r>
  <r>
    <s v="TXN-20814"/>
    <x v="484"/>
    <x v="1"/>
    <x v="1"/>
    <x v="3"/>
    <x v="19"/>
    <n v="56.87"/>
    <x v="3"/>
    <s v="No"/>
    <n v="101301.26"/>
  </r>
  <r>
    <s v="TXN-20815"/>
    <x v="484"/>
    <x v="1"/>
    <x v="1"/>
    <x v="6"/>
    <x v="14"/>
    <n v="26.22"/>
    <x v="4"/>
    <s v="No"/>
    <n v="101275.04"/>
  </r>
  <r>
    <s v="TXN-20816"/>
    <x v="485"/>
    <x v="1"/>
    <x v="1"/>
    <x v="3"/>
    <x v="30"/>
    <n v="171.4"/>
    <x v="4"/>
    <s v="No"/>
    <n v="101103.64"/>
  </r>
  <r>
    <s v="TXN-20817"/>
    <x v="485"/>
    <x v="1"/>
    <x v="1"/>
    <x v="2"/>
    <x v="4"/>
    <n v="26.73"/>
    <x v="4"/>
    <s v="No"/>
    <n v="101076.91"/>
  </r>
  <r>
    <s v="TXN-20818"/>
    <x v="485"/>
    <x v="1"/>
    <x v="1"/>
    <x v="6"/>
    <x v="27"/>
    <n v="30.48"/>
    <x v="4"/>
    <s v="No"/>
    <n v="101046.43"/>
  </r>
  <r>
    <s v="TXN-20819"/>
    <x v="486"/>
    <x v="0"/>
    <x v="1"/>
    <x v="3"/>
    <x v="30"/>
    <n v="97.03"/>
    <x v="3"/>
    <s v="No"/>
    <n v="100949.4"/>
  </r>
  <r>
    <s v="TXN-20820"/>
    <x v="487"/>
    <x v="0"/>
    <x v="0"/>
    <x v="0"/>
    <x v="0"/>
    <n v="4984.24"/>
    <x v="0"/>
    <s v="Yes"/>
    <n v="105933.64"/>
  </r>
  <r>
    <s v="TXN-20821"/>
    <x v="487"/>
    <x v="0"/>
    <x v="1"/>
    <x v="3"/>
    <x v="19"/>
    <n v="86.83"/>
    <x v="4"/>
    <s v="No"/>
    <n v="105846.81"/>
  </r>
  <r>
    <s v="TXN-20822"/>
    <x v="487"/>
    <x v="1"/>
    <x v="1"/>
    <x v="6"/>
    <x v="8"/>
    <n v="12.78"/>
    <x v="3"/>
    <s v="No"/>
    <n v="105834.03"/>
  </r>
  <r>
    <s v="TXN-20823"/>
    <x v="488"/>
    <x v="0"/>
    <x v="1"/>
    <x v="3"/>
    <x v="10"/>
    <n v="45.89"/>
    <x v="4"/>
    <s v="No"/>
    <n v="105788.14"/>
  </r>
  <r>
    <s v="TXN-20824"/>
    <x v="489"/>
    <x v="1"/>
    <x v="1"/>
    <x v="2"/>
    <x v="18"/>
    <n v="46.84"/>
    <x v="2"/>
    <s v="No"/>
    <n v="105741.3"/>
  </r>
  <r>
    <s v="TXN-20825"/>
    <x v="490"/>
    <x v="1"/>
    <x v="1"/>
    <x v="6"/>
    <x v="12"/>
    <n v="49.66"/>
    <x v="3"/>
    <s v="No"/>
    <n v="105691.64"/>
  </r>
  <r>
    <s v="TXN-20826"/>
    <x v="490"/>
    <x v="0"/>
    <x v="1"/>
    <x v="4"/>
    <x v="15"/>
    <n v="77.150000000000006"/>
    <x v="4"/>
    <s v="No"/>
    <n v="105614.49"/>
  </r>
  <r>
    <s v="TXN-20827"/>
    <x v="491"/>
    <x v="1"/>
    <x v="1"/>
    <x v="4"/>
    <x v="35"/>
    <n v="14"/>
    <x v="4"/>
    <s v="No"/>
    <n v="105600.49"/>
  </r>
  <r>
    <s v="TXN-20828"/>
    <x v="492"/>
    <x v="1"/>
    <x v="1"/>
    <x v="6"/>
    <x v="8"/>
    <n v="9.27"/>
    <x v="3"/>
    <s v="No"/>
    <n v="105591.22"/>
  </r>
  <r>
    <s v="TXN-20829"/>
    <x v="493"/>
    <x v="1"/>
    <x v="1"/>
    <x v="2"/>
    <x v="18"/>
    <n v="70.27"/>
    <x v="4"/>
    <s v="No"/>
    <n v="105520.95"/>
  </r>
  <r>
    <s v="TXN-20830"/>
    <x v="493"/>
    <x v="0"/>
    <x v="1"/>
    <x v="6"/>
    <x v="14"/>
    <n v="11.9"/>
    <x v="3"/>
    <s v="No"/>
    <n v="105509.05"/>
  </r>
  <r>
    <s v="TXN-20831"/>
    <x v="493"/>
    <x v="1"/>
    <x v="1"/>
    <x v="4"/>
    <x v="36"/>
    <n v="16.41"/>
    <x v="3"/>
    <s v="No"/>
    <n v="105492.64"/>
  </r>
  <r>
    <s v="TXN-20832"/>
    <x v="494"/>
    <x v="0"/>
    <x v="1"/>
    <x v="3"/>
    <x v="30"/>
    <n v="54.57"/>
    <x v="4"/>
    <s v="No"/>
    <n v="105438.07"/>
  </r>
  <r>
    <s v="TXN-20833"/>
    <x v="495"/>
    <x v="0"/>
    <x v="1"/>
    <x v="6"/>
    <x v="8"/>
    <n v="16.23"/>
    <x v="4"/>
    <s v="No"/>
    <n v="105421.84"/>
  </r>
  <r>
    <s v="TXN-20834"/>
    <x v="496"/>
    <x v="1"/>
    <x v="1"/>
    <x v="3"/>
    <x v="13"/>
    <n v="46.74"/>
    <x v="4"/>
    <s v="No"/>
    <n v="105375.1"/>
  </r>
  <r>
    <s v="TXN-20835"/>
    <x v="496"/>
    <x v="0"/>
    <x v="1"/>
    <x v="4"/>
    <x v="22"/>
    <n v="23.99"/>
    <x v="3"/>
    <s v="No"/>
    <n v="105351.11"/>
  </r>
  <r>
    <s v="TXN-20836"/>
    <x v="497"/>
    <x v="1"/>
    <x v="1"/>
    <x v="2"/>
    <x v="25"/>
    <n v="46.85"/>
    <x v="3"/>
    <s v="No"/>
    <n v="105304.26"/>
  </r>
  <r>
    <s v="TXN-20837"/>
    <x v="498"/>
    <x v="0"/>
    <x v="1"/>
    <x v="2"/>
    <x v="31"/>
    <n v="82.26"/>
    <x v="2"/>
    <s v="No"/>
    <n v="105222"/>
  </r>
  <r>
    <s v="TXN-20838"/>
    <x v="499"/>
    <x v="0"/>
    <x v="0"/>
    <x v="0"/>
    <x v="0"/>
    <n v="3856.73"/>
    <x v="0"/>
    <s v="Yes"/>
    <n v="109078.73"/>
  </r>
  <r>
    <s v="TXN-20839"/>
    <x v="499"/>
    <x v="0"/>
    <x v="1"/>
    <x v="1"/>
    <x v="1"/>
    <n v="2027.27"/>
    <x v="1"/>
    <s v="Yes"/>
    <n v="107051.46"/>
  </r>
  <r>
    <s v="TXN-20840"/>
    <x v="499"/>
    <x v="1"/>
    <x v="1"/>
    <x v="4"/>
    <x v="38"/>
    <n v="37.86"/>
    <x v="4"/>
    <s v="No"/>
    <n v="107013.6"/>
  </r>
  <r>
    <s v="TXN-20841"/>
    <x v="500"/>
    <x v="1"/>
    <x v="1"/>
    <x v="3"/>
    <x v="19"/>
    <n v="123.68"/>
    <x v="4"/>
    <s v="No"/>
    <n v="106889.92"/>
  </r>
  <r>
    <s v="TXN-20842"/>
    <x v="500"/>
    <x v="0"/>
    <x v="1"/>
    <x v="4"/>
    <x v="38"/>
    <n v="67.930000000000007"/>
    <x v="3"/>
    <s v="No"/>
    <n v="106821.99"/>
  </r>
  <r>
    <s v="TXN-20843"/>
    <x v="501"/>
    <x v="0"/>
    <x v="0"/>
    <x v="7"/>
    <x v="32"/>
    <n v="536.08000000000004"/>
    <x v="6"/>
    <s v="No"/>
    <n v="107358.07"/>
  </r>
  <r>
    <s v="TXN-20844"/>
    <x v="501"/>
    <x v="0"/>
    <x v="1"/>
    <x v="2"/>
    <x v="5"/>
    <n v="53.61"/>
    <x v="4"/>
    <s v="No"/>
    <n v="107304.46"/>
  </r>
  <r>
    <s v="TXN-20845"/>
    <x v="502"/>
    <x v="0"/>
    <x v="1"/>
    <x v="3"/>
    <x v="17"/>
    <n v="21.58"/>
    <x v="4"/>
    <s v="No"/>
    <n v="107282.88"/>
  </r>
  <r>
    <s v="TXN-20846"/>
    <x v="503"/>
    <x v="1"/>
    <x v="1"/>
    <x v="2"/>
    <x v="33"/>
    <n v="70.930000000000007"/>
    <x v="4"/>
    <s v="No"/>
    <n v="107211.95"/>
  </r>
  <r>
    <s v="TXN-20847"/>
    <x v="504"/>
    <x v="2"/>
    <x v="0"/>
    <x v="7"/>
    <x v="32"/>
    <n v="1381.38"/>
    <x v="6"/>
    <s v="No"/>
    <n v="108593.33"/>
  </r>
  <r>
    <s v="TXN-20848"/>
    <x v="504"/>
    <x v="1"/>
    <x v="1"/>
    <x v="5"/>
    <x v="34"/>
    <n v="160.31"/>
    <x v="1"/>
    <s v="Yes"/>
    <n v="108433.02"/>
  </r>
  <r>
    <s v="TXN-20849"/>
    <x v="504"/>
    <x v="0"/>
    <x v="1"/>
    <x v="3"/>
    <x v="13"/>
    <n v="46.03"/>
    <x v="3"/>
    <s v="No"/>
    <n v="108386.99"/>
  </r>
  <r>
    <s v="TXN-20850"/>
    <x v="505"/>
    <x v="0"/>
    <x v="1"/>
    <x v="5"/>
    <x v="9"/>
    <n v="115.89"/>
    <x v="1"/>
    <s v="Yes"/>
    <n v="108271.1"/>
  </r>
  <r>
    <s v="TXN-20851"/>
    <x v="505"/>
    <x v="0"/>
    <x v="1"/>
    <x v="3"/>
    <x v="30"/>
    <n v="56.53"/>
    <x v="4"/>
    <s v="No"/>
    <n v="108214.57"/>
  </r>
  <r>
    <s v="TXN-20852"/>
    <x v="505"/>
    <x v="0"/>
    <x v="1"/>
    <x v="2"/>
    <x v="33"/>
    <n v="74.489999999999995"/>
    <x v="4"/>
    <s v="No"/>
    <n v="108140.08"/>
  </r>
  <r>
    <s v="TXN-20853"/>
    <x v="505"/>
    <x v="1"/>
    <x v="1"/>
    <x v="6"/>
    <x v="12"/>
    <n v="5.48"/>
    <x v="2"/>
    <s v="No"/>
    <n v="108134.6"/>
  </r>
  <r>
    <s v="TXN-20854"/>
    <x v="505"/>
    <x v="0"/>
    <x v="1"/>
    <x v="4"/>
    <x v="37"/>
    <n v="79.319999999999993"/>
    <x v="3"/>
    <s v="No"/>
    <n v="108055.28"/>
  </r>
  <r>
    <s v="TXN-20855"/>
    <x v="506"/>
    <x v="2"/>
    <x v="0"/>
    <x v="7"/>
    <x v="32"/>
    <n v="730.28"/>
    <x v="6"/>
    <s v="No"/>
    <n v="108785.56"/>
  </r>
  <r>
    <s v="TXN-20856"/>
    <x v="506"/>
    <x v="1"/>
    <x v="1"/>
    <x v="5"/>
    <x v="7"/>
    <n v="120.01"/>
    <x v="1"/>
    <s v="Yes"/>
    <n v="108665.55"/>
  </r>
  <r>
    <s v="TXN-20857"/>
    <x v="506"/>
    <x v="0"/>
    <x v="1"/>
    <x v="6"/>
    <x v="20"/>
    <n v="28.52"/>
    <x v="2"/>
    <s v="No"/>
    <n v="108637.03"/>
  </r>
  <r>
    <s v="TXN-20858"/>
    <x v="507"/>
    <x v="0"/>
    <x v="1"/>
    <x v="3"/>
    <x v="10"/>
    <n v="116.97"/>
    <x v="4"/>
    <s v="No"/>
    <n v="108520.06"/>
  </r>
  <r>
    <s v="TXN-20859"/>
    <x v="508"/>
    <x v="0"/>
    <x v="1"/>
    <x v="3"/>
    <x v="19"/>
    <n v="64.13"/>
    <x v="4"/>
    <s v="No"/>
    <n v="108455.93"/>
  </r>
  <r>
    <s v="TXN-20860"/>
    <x v="508"/>
    <x v="0"/>
    <x v="1"/>
    <x v="2"/>
    <x v="5"/>
    <n v="59.82"/>
    <x v="2"/>
    <s v="No"/>
    <n v="108396.11"/>
  </r>
  <r>
    <s v="TXN-20861"/>
    <x v="508"/>
    <x v="0"/>
    <x v="1"/>
    <x v="6"/>
    <x v="14"/>
    <n v="25.65"/>
    <x v="4"/>
    <s v="No"/>
    <n v="108370.46"/>
  </r>
  <r>
    <s v="TXN-20862"/>
    <x v="508"/>
    <x v="1"/>
    <x v="1"/>
    <x v="4"/>
    <x v="22"/>
    <n v="12.24"/>
    <x v="3"/>
    <s v="No"/>
    <n v="108358.22"/>
  </r>
  <r>
    <s v="TXN-20863"/>
    <x v="509"/>
    <x v="1"/>
    <x v="1"/>
    <x v="3"/>
    <x v="30"/>
    <n v="145.53"/>
    <x v="4"/>
    <s v="No"/>
    <n v="108212.69"/>
  </r>
  <r>
    <s v="TXN-20864"/>
    <x v="509"/>
    <x v="0"/>
    <x v="1"/>
    <x v="4"/>
    <x v="37"/>
    <n v="89.46"/>
    <x v="3"/>
    <s v="No"/>
    <n v="108123.23"/>
  </r>
  <r>
    <s v="TXN-20865"/>
    <x v="510"/>
    <x v="0"/>
    <x v="0"/>
    <x v="0"/>
    <x v="40"/>
    <n v="4556.1499999999996"/>
    <x v="0"/>
    <s v="Yes"/>
    <n v="112679.38"/>
  </r>
  <r>
    <s v="TXN-20866"/>
    <x v="510"/>
    <x v="1"/>
    <x v="1"/>
    <x v="3"/>
    <x v="19"/>
    <n v="53.49"/>
    <x v="3"/>
    <s v="No"/>
    <n v="112625.89"/>
  </r>
  <r>
    <s v="TXN-20867"/>
    <x v="511"/>
    <x v="0"/>
    <x v="1"/>
    <x v="3"/>
    <x v="10"/>
    <n v="164.46"/>
    <x v="4"/>
    <s v="No"/>
    <n v="112461.43"/>
  </r>
  <r>
    <s v="TXN-20868"/>
    <x v="512"/>
    <x v="1"/>
    <x v="1"/>
    <x v="2"/>
    <x v="4"/>
    <n v="20.66"/>
    <x v="3"/>
    <s v="No"/>
    <n v="112440.77"/>
  </r>
  <r>
    <s v="TXN-20869"/>
    <x v="513"/>
    <x v="0"/>
    <x v="1"/>
    <x v="6"/>
    <x v="16"/>
    <n v="16.170000000000002"/>
    <x v="3"/>
    <s v="No"/>
    <n v="112424.6"/>
  </r>
  <r>
    <s v="TXN-20870"/>
    <x v="514"/>
    <x v="0"/>
    <x v="1"/>
    <x v="3"/>
    <x v="30"/>
    <n v="117.71"/>
    <x v="3"/>
    <s v="No"/>
    <n v="112306.89"/>
  </r>
  <r>
    <s v="TXN-20871"/>
    <x v="514"/>
    <x v="0"/>
    <x v="1"/>
    <x v="6"/>
    <x v="14"/>
    <n v="45.76"/>
    <x v="4"/>
    <s v="No"/>
    <n v="112261.13"/>
  </r>
  <r>
    <s v="TXN-20872"/>
    <x v="515"/>
    <x v="0"/>
    <x v="1"/>
    <x v="4"/>
    <x v="38"/>
    <n v="51.26"/>
    <x v="3"/>
    <s v="No"/>
    <n v="112209.87"/>
  </r>
  <r>
    <s v="TXN-20873"/>
    <x v="516"/>
    <x v="0"/>
    <x v="1"/>
    <x v="3"/>
    <x v="3"/>
    <n v="68.84"/>
    <x v="3"/>
    <s v="No"/>
    <n v="112141.03"/>
  </r>
  <r>
    <s v="TXN-20874"/>
    <x v="516"/>
    <x v="0"/>
    <x v="1"/>
    <x v="2"/>
    <x v="5"/>
    <n v="45.91"/>
    <x v="3"/>
    <s v="No"/>
    <n v="112095.12"/>
  </r>
  <r>
    <s v="TXN-20875"/>
    <x v="516"/>
    <x v="0"/>
    <x v="1"/>
    <x v="6"/>
    <x v="14"/>
    <n v="47.56"/>
    <x v="2"/>
    <s v="No"/>
    <n v="112047.56"/>
  </r>
  <r>
    <s v="TXN-20876"/>
    <x v="517"/>
    <x v="0"/>
    <x v="1"/>
    <x v="2"/>
    <x v="11"/>
    <n v="81.08"/>
    <x v="4"/>
    <s v="No"/>
    <n v="111966.48"/>
  </r>
  <r>
    <s v="TXN-20877"/>
    <x v="518"/>
    <x v="1"/>
    <x v="1"/>
    <x v="2"/>
    <x v="31"/>
    <n v="22.56"/>
    <x v="2"/>
    <s v="No"/>
    <n v="111943.92"/>
  </r>
  <r>
    <s v="TXN-20878"/>
    <x v="519"/>
    <x v="1"/>
    <x v="1"/>
    <x v="6"/>
    <x v="14"/>
    <n v="55.34"/>
    <x v="3"/>
    <s v="No"/>
    <n v="111888.58"/>
  </r>
  <r>
    <s v="TXN-20879"/>
    <x v="520"/>
    <x v="1"/>
    <x v="1"/>
    <x v="2"/>
    <x v="4"/>
    <n v="70.569999999999993"/>
    <x v="2"/>
    <s v="No"/>
    <n v="111818.01"/>
  </r>
  <r>
    <s v="TXN-20880"/>
    <x v="521"/>
    <x v="0"/>
    <x v="1"/>
    <x v="4"/>
    <x v="38"/>
    <n v="95.01"/>
    <x v="4"/>
    <s v="No"/>
    <n v="111723"/>
  </r>
  <r>
    <s v="TXN-20881"/>
    <x v="522"/>
    <x v="0"/>
    <x v="1"/>
    <x v="1"/>
    <x v="1"/>
    <n v="1689.14"/>
    <x v="1"/>
    <s v="Yes"/>
    <n v="110033.86"/>
  </r>
  <r>
    <s v="TXN-20882"/>
    <x v="522"/>
    <x v="0"/>
    <x v="1"/>
    <x v="3"/>
    <x v="3"/>
    <n v="168.52"/>
    <x v="4"/>
    <s v="No"/>
    <n v="109865.34"/>
  </r>
  <r>
    <s v="TXN-20883"/>
    <x v="523"/>
    <x v="1"/>
    <x v="1"/>
    <x v="3"/>
    <x v="3"/>
    <n v="21.53"/>
    <x v="4"/>
    <s v="No"/>
    <n v="109843.81"/>
  </r>
  <r>
    <s v="TXN-20884"/>
    <x v="523"/>
    <x v="0"/>
    <x v="1"/>
    <x v="6"/>
    <x v="23"/>
    <n v="58.85"/>
    <x v="3"/>
    <s v="No"/>
    <n v="109784.96000000001"/>
  </r>
  <r>
    <s v="TXN-20885"/>
    <x v="524"/>
    <x v="1"/>
    <x v="1"/>
    <x v="2"/>
    <x v="11"/>
    <n v="9.19"/>
    <x v="2"/>
    <s v="No"/>
    <n v="109775.77"/>
  </r>
  <r>
    <s v="TXN-20886"/>
    <x v="525"/>
    <x v="0"/>
    <x v="1"/>
    <x v="2"/>
    <x v="18"/>
    <n v="45.65"/>
    <x v="4"/>
    <s v="No"/>
    <n v="109730.12"/>
  </r>
  <r>
    <s v="TXN-20887"/>
    <x v="525"/>
    <x v="1"/>
    <x v="1"/>
    <x v="6"/>
    <x v="16"/>
    <n v="46.14"/>
    <x v="3"/>
    <s v="No"/>
    <n v="109683.98"/>
  </r>
  <r>
    <s v="TXN-20888"/>
    <x v="526"/>
    <x v="1"/>
    <x v="1"/>
    <x v="5"/>
    <x v="26"/>
    <n v="69.67"/>
    <x v="1"/>
    <s v="Yes"/>
    <n v="109614.31"/>
  </r>
  <r>
    <s v="TXN-20889"/>
    <x v="526"/>
    <x v="1"/>
    <x v="1"/>
    <x v="2"/>
    <x v="11"/>
    <n v="47.15"/>
    <x v="4"/>
    <s v="No"/>
    <n v="109567.16"/>
  </r>
  <r>
    <s v="TXN-20890"/>
    <x v="527"/>
    <x v="1"/>
    <x v="1"/>
    <x v="3"/>
    <x v="13"/>
    <n v="79.62"/>
    <x v="4"/>
    <s v="No"/>
    <n v="109487.54"/>
  </r>
  <r>
    <s v="TXN-20891"/>
    <x v="527"/>
    <x v="1"/>
    <x v="1"/>
    <x v="2"/>
    <x v="21"/>
    <n v="83.67"/>
    <x v="2"/>
    <s v="No"/>
    <n v="109403.87"/>
  </r>
  <r>
    <s v="TXN-20892"/>
    <x v="528"/>
    <x v="1"/>
    <x v="1"/>
    <x v="5"/>
    <x v="26"/>
    <n v="92.39"/>
    <x v="1"/>
    <s v="Yes"/>
    <n v="109311.48"/>
  </r>
  <r>
    <s v="TXN-20893"/>
    <x v="528"/>
    <x v="0"/>
    <x v="1"/>
    <x v="3"/>
    <x v="30"/>
    <n v="179.19"/>
    <x v="3"/>
    <s v="No"/>
    <n v="109132.29"/>
  </r>
  <r>
    <s v="TXN-20894"/>
    <x v="528"/>
    <x v="1"/>
    <x v="1"/>
    <x v="6"/>
    <x v="23"/>
    <n v="10.83"/>
    <x v="2"/>
    <s v="No"/>
    <n v="109121.46"/>
  </r>
  <r>
    <s v="TXN-20895"/>
    <x v="529"/>
    <x v="1"/>
    <x v="1"/>
    <x v="6"/>
    <x v="27"/>
    <n v="42.06"/>
    <x v="4"/>
    <s v="No"/>
    <n v="109079.4"/>
  </r>
  <r>
    <s v="TXN-20896"/>
    <x v="530"/>
    <x v="1"/>
    <x v="1"/>
    <x v="3"/>
    <x v="10"/>
    <n v="123.44"/>
    <x v="3"/>
    <s v="No"/>
    <n v="108955.96"/>
  </r>
  <r>
    <s v="TXN-20897"/>
    <x v="530"/>
    <x v="0"/>
    <x v="1"/>
    <x v="2"/>
    <x v="11"/>
    <n v="72.94"/>
    <x v="3"/>
    <s v="No"/>
    <n v="108883.02"/>
  </r>
  <r>
    <s v="TXN-20898"/>
    <x v="530"/>
    <x v="0"/>
    <x v="1"/>
    <x v="6"/>
    <x v="8"/>
    <n v="46.94"/>
    <x v="4"/>
    <s v="No"/>
    <n v="108836.08"/>
  </r>
  <r>
    <s v="TXN-20899"/>
    <x v="531"/>
    <x v="1"/>
    <x v="1"/>
    <x v="3"/>
    <x v="30"/>
    <n v="97.99"/>
    <x v="4"/>
    <s v="No"/>
    <n v="108738.09"/>
  </r>
  <r>
    <s v="TXN-20900"/>
    <x v="531"/>
    <x v="0"/>
    <x v="1"/>
    <x v="2"/>
    <x v="33"/>
    <n v="40.21"/>
    <x v="4"/>
    <s v="No"/>
    <n v="108697.88"/>
  </r>
  <r>
    <s v="TXN-20901"/>
    <x v="531"/>
    <x v="1"/>
    <x v="1"/>
    <x v="4"/>
    <x v="22"/>
    <n v="75.83"/>
    <x v="4"/>
    <s v="No"/>
    <n v="108622.05"/>
  </r>
  <r>
    <s v="TXN-20902"/>
    <x v="532"/>
    <x v="0"/>
    <x v="0"/>
    <x v="0"/>
    <x v="0"/>
    <n v="3772.12"/>
    <x v="0"/>
    <s v="Yes"/>
    <n v="112394.17"/>
  </r>
  <r>
    <s v="TXN-20903"/>
    <x v="532"/>
    <x v="1"/>
    <x v="1"/>
    <x v="6"/>
    <x v="23"/>
    <n v="33.49"/>
    <x v="2"/>
    <s v="No"/>
    <n v="112360.68"/>
  </r>
  <r>
    <s v="TXN-20904"/>
    <x v="533"/>
    <x v="1"/>
    <x v="1"/>
    <x v="2"/>
    <x v="33"/>
    <n v="17.04"/>
    <x v="3"/>
    <s v="No"/>
    <n v="112343.64"/>
  </r>
  <r>
    <s v="TXN-20905"/>
    <x v="533"/>
    <x v="1"/>
    <x v="1"/>
    <x v="6"/>
    <x v="27"/>
    <n v="33.99"/>
    <x v="3"/>
    <s v="No"/>
    <n v="112309.65"/>
  </r>
  <r>
    <s v="TXN-20906"/>
    <x v="534"/>
    <x v="2"/>
    <x v="0"/>
    <x v="7"/>
    <x v="28"/>
    <n v="617.59"/>
    <x v="5"/>
    <s v="No"/>
    <n v="112927.24"/>
  </r>
  <r>
    <s v="TXN-20907"/>
    <x v="534"/>
    <x v="0"/>
    <x v="1"/>
    <x v="6"/>
    <x v="12"/>
    <n v="20.420000000000002"/>
    <x v="4"/>
    <s v="No"/>
    <n v="112906.82"/>
  </r>
  <r>
    <s v="TXN-20908"/>
    <x v="535"/>
    <x v="1"/>
    <x v="1"/>
    <x v="4"/>
    <x v="35"/>
    <n v="77.59"/>
    <x v="4"/>
    <s v="No"/>
    <n v="112829.23"/>
  </r>
  <r>
    <s v="TXN-20909"/>
    <x v="536"/>
    <x v="0"/>
    <x v="0"/>
    <x v="7"/>
    <x v="32"/>
    <n v="524.25"/>
    <x v="5"/>
    <s v="No"/>
    <n v="113353.48"/>
  </r>
  <r>
    <s v="TXN-20910"/>
    <x v="536"/>
    <x v="1"/>
    <x v="1"/>
    <x v="3"/>
    <x v="3"/>
    <n v="178.45"/>
    <x v="3"/>
    <s v="No"/>
    <n v="113175.03"/>
  </r>
  <r>
    <s v="TXN-20911"/>
    <x v="536"/>
    <x v="1"/>
    <x v="1"/>
    <x v="2"/>
    <x v="31"/>
    <n v="73.56"/>
    <x v="4"/>
    <s v="No"/>
    <n v="113101.47"/>
  </r>
  <r>
    <s v="TXN-20912"/>
    <x v="536"/>
    <x v="0"/>
    <x v="1"/>
    <x v="4"/>
    <x v="38"/>
    <n v="94.2"/>
    <x v="3"/>
    <s v="No"/>
    <n v="113007.27"/>
  </r>
  <r>
    <s v="TXN-20913"/>
    <x v="537"/>
    <x v="0"/>
    <x v="1"/>
    <x v="2"/>
    <x v="31"/>
    <n v="75.03"/>
    <x v="4"/>
    <s v="No"/>
    <n v="112932.24"/>
  </r>
  <r>
    <s v="TXN-20914"/>
    <x v="538"/>
    <x v="0"/>
    <x v="1"/>
    <x v="2"/>
    <x v="31"/>
    <n v="9.02"/>
    <x v="3"/>
    <s v="No"/>
    <n v="112923.22"/>
  </r>
  <r>
    <s v="TXN-20915"/>
    <x v="538"/>
    <x v="0"/>
    <x v="1"/>
    <x v="6"/>
    <x v="16"/>
    <n v="52.39"/>
    <x v="4"/>
    <s v="No"/>
    <n v="112870.83"/>
  </r>
  <r>
    <s v="TXN-20916"/>
    <x v="539"/>
    <x v="0"/>
    <x v="0"/>
    <x v="7"/>
    <x v="32"/>
    <n v="630.09"/>
    <x v="5"/>
    <s v="No"/>
    <n v="113500.92"/>
  </r>
  <r>
    <s v="TXN-20917"/>
    <x v="539"/>
    <x v="0"/>
    <x v="1"/>
    <x v="6"/>
    <x v="23"/>
    <n v="48.48"/>
    <x v="2"/>
    <s v="No"/>
    <n v="113452.44"/>
  </r>
  <r>
    <s v="TXN-20918"/>
    <x v="540"/>
    <x v="1"/>
    <x v="1"/>
    <x v="4"/>
    <x v="6"/>
    <n v="81.95"/>
    <x v="4"/>
    <s v="No"/>
    <n v="113370.49"/>
  </r>
  <r>
    <s v="TXN-20919"/>
    <x v="541"/>
    <x v="0"/>
    <x v="1"/>
    <x v="3"/>
    <x v="19"/>
    <n v="66.55"/>
    <x v="3"/>
    <s v="No"/>
    <n v="113303.94"/>
  </r>
  <r>
    <s v="TXN-20920"/>
    <x v="542"/>
    <x v="1"/>
    <x v="1"/>
    <x v="2"/>
    <x v="11"/>
    <n v="10.220000000000001"/>
    <x v="4"/>
    <s v="No"/>
    <n v="113293.72"/>
  </r>
  <r>
    <s v="TXN-20921"/>
    <x v="543"/>
    <x v="0"/>
    <x v="1"/>
    <x v="1"/>
    <x v="1"/>
    <n v="1655.46"/>
    <x v="1"/>
    <s v="Yes"/>
    <n v="111638.26"/>
  </r>
  <r>
    <s v="TXN-20922"/>
    <x v="543"/>
    <x v="1"/>
    <x v="1"/>
    <x v="3"/>
    <x v="29"/>
    <n v="73.63"/>
    <x v="3"/>
    <s v="No"/>
    <n v="111564.63"/>
  </r>
  <r>
    <s v="TXN-20923"/>
    <x v="544"/>
    <x v="0"/>
    <x v="1"/>
    <x v="3"/>
    <x v="17"/>
    <n v="131.76"/>
    <x v="3"/>
    <s v="No"/>
    <n v="111432.87"/>
  </r>
  <r>
    <s v="TXN-20924"/>
    <x v="544"/>
    <x v="0"/>
    <x v="1"/>
    <x v="6"/>
    <x v="14"/>
    <n v="33.78"/>
    <x v="3"/>
    <s v="No"/>
    <n v="111399.09"/>
  </r>
  <r>
    <s v="TXN-20925"/>
    <x v="545"/>
    <x v="1"/>
    <x v="1"/>
    <x v="3"/>
    <x v="19"/>
    <n v="27.36"/>
    <x v="3"/>
    <s v="No"/>
    <n v="111371.73"/>
  </r>
  <r>
    <s v="TXN-20926"/>
    <x v="545"/>
    <x v="0"/>
    <x v="1"/>
    <x v="6"/>
    <x v="14"/>
    <n v="26.53"/>
    <x v="2"/>
    <s v="No"/>
    <n v="111345.2"/>
  </r>
  <r>
    <s v="TXN-20927"/>
    <x v="546"/>
    <x v="1"/>
    <x v="1"/>
    <x v="3"/>
    <x v="17"/>
    <n v="150.72999999999999"/>
    <x v="4"/>
    <s v="No"/>
    <n v="111194.47"/>
  </r>
  <r>
    <s v="TXN-20928"/>
    <x v="546"/>
    <x v="0"/>
    <x v="1"/>
    <x v="2"/>
    <x v="33"/>
    <n v="83.19"/>
    <x v="2"/>
    <s v="No"/>
    <n v="111111.28"/>
  </r>
  <r>
    <s v="TXN-20929"/>
    <x v="546"/>
    <x v="0"/>
    <x v="1"/>
    <x v="6"/>
    <x v="12"/>
    <n v="56.78"/>
    <x v="4"/>
    <s v="No"/>
    <n v="111054.5"/>
  </r>
  <r>
    <s v="TXN-20930"/>
    <x v="547"/>
    <x v="0"/>
    <x v="1"/>
    <x v="4"/>
    <x v="38"/>
    <n v="79.099999999999994"/>
    <x v="3"/>
    <s v="No"/>
    <n v="110975.4"/>
  </r>
  <r>
    <s v="TXN-20931"/>
    <x v="548"/>
    <x v="0"/>
    <x v="1"/>
    <x v="3"/>
    <x v="10"/>
    <n v="157.57"/>
    <x v="3"/>
    <s v="No"/>
    <n v="110817.83"/>
  </r>
  <r>
    <s v="TXN-20932"/>
    <x v="548"/>
    <x v="0"/>
    <x v="1"/>
    <x v="6"/>
    <x v="27"/>
    <n v="48.07"/>
    <x v="4"/>
    <s v="No"/>
    <n v="110769.76"/>
  </r>
  <r>
    <s v="TXN-20933"/>
    <x v="549"/>
    <x v="0"/>
    <x v="1"/>
    <x v="5"/>
    <x v="9"/>
    <n v="194.49"/>
    <x v="1"/>
    <s v="Yes"/>
    <n v="110575.27"/>
  </r>
  <r>
    <s v="TXN-20934"/>
    <x v="549"/>
    <x v="0"/>
    <x v="1"/>
    <x v="3"/>
    <x v="30"/>
    <n v="111.82"/>
    <x v="3"/>
    <s v="No"/>
    <n v="110463.45"/>
  </r>
  <r>
    <s v="TXN-20935"/>
    <x v="549"/>
    <x v="1"/>
    <x v="1"/>
    <x v="6"/>
    <x v="27"/>
    <n v="16.97"/>
    <x v="2"/>
    <s v="No"/>
    <n v="110446.48"/>
  </r>
  <r>
    <s v="TXN-20936"/>
    <x v="550"/>
    <x v="0"/>
    <x v="1"/>
    <x v="5"/>
    <x v="9"/>
    <n v="246.76"/>
    <x v="1"/>
    <s v="Yes"/>
    <n v="110199.72"/>
  </r>
  <r>
    <s v="TXN-20937"/>
    <x v="550"/>
    <x v="1"/>
    <x v="1"/>
    <x v="2"/>
    <x v="2"/>
    <n v="16.41"/>
    <x v="2"/>
    <s v="No"/>
    <n v="110183.31"/>
  </r>
  <r>
    <s v="TXN-20938"/>
    <x v="551"/>
    <x v="1"/>
    <x v="1"/>
    <x v="6"/>
    <x v="23"/>
    <n v="5.07"/>
    <x v="3"/>
    <s v="No"/>
    <n v="110178.24000000001"/>
  </r>
  <r>
    <s v="TXN-20939"/>
    <x v="552"/>
    <x v="0"/>
    <x v="1"/>
    <x v="6"/>
    <x v="16"/>
    <n v="42.89"/>
    <x v="3"/>
    <s v="No"/>
    <n v="110135.35"/>
  </r>
  <r>
    <s v="TXN-20940"/>
    <x v="553"/>
    <x v="0"/>
    <x v="1"/>
    <x v="2"/>
    <x v="2"/>
    <n v="69.47"/>
    <x v="4"/>
    <s v="No"/>
    <n v="110065.88"/>
  </r>
  <r>
    <s v="TXN-20941"/>
    <x v="554"/>
    <x v="0"/>
    <x v="1"/>
    <x v="2"/>
    <x v="33"/>
    <n v="76.41"/>
    <x v="3"/>
    <s v="No"/>
    <n v="109989.47"/>
  </r>
  <r>
    <s v="TXN-20942"/>
    <x v="555"/>
    <x v="0"/>
    <x v="0"/>
    <x v="0"/>
    <x v="0"/>
    <n v="5218.3999999999996"/>
    <x v="0"/>
    <s v="Yes"/>
    <n v="115207.87"/>
  </r>
  <r>
    <s v="TXN-20943"/>
    <x v="555"/>
    <x v="1"/>
    <x v="1"/>
    <x v="2"/>
    <x v="18"/>
    <n v="16.350000000000001"/>
    <x v="3"/>
    <s v="No"/>
    <n v="115191.52"/>
  </r>
  <r>
    <s v="TXN-20944"/>
    <x v="556"/>
    <x v="1"/>
    <x v="1"/>
    <x v="3"/>
    <x v="19"/>
    <n v="71.39"/>
    <x v="4"/>
    <s v="No"/>
    <n v="115120.13"/>
  </r>
  <r>
    <s v="TXN-20945"/>
    <x v="557"/>
    <x v="0"/>
    <x v="1"/>
    <x v="2"/>
    <x v="11"/>
    <n v="75.900000000000006"/>
    <x v="4"/>
    <s v="No"/>
    <n v="115044.23"/>
  </r>
  <r>
    <s v="TXN-20946"/>
    <x v="557"/>
    <x v="1"/>
    <x v="1"/>
    <x v="6"/>
    <x v="27"/>
    <n v="18.420000000000002"/>
    <x v="3"/>
    <s v="No"/>
    <n v="115025.81"/>
  </r>
  <r>
    <s v="TXN-20947"/>
    <x v="558"/>
    <x v="1"/>
    <x v="1"/>
    <x v="2"/>
    <x v="2"/>
    <n v="29.88"/>
    <x v="4"/>
    <s v="No"/>
    <n v="114995.93"/>
  </r>
  <r>
    <s v="TXN-20948"/>
    <x v="559"/>
    <x v="1"/>
    <x v="1"/>
    <x v="3"/>
    <x v="10"/>
    <n v="163.68"/>
    <x v="4"/>
    <s v="No"/>
    <n v="114832.25"/>
  </r>
  <r>
    <s v="TXN-20949"/>
    <x v="559"/>
    <x v="0"/>
    <x v="1"/>
    <x v="2"/>
    <x v="25"/>
    <n v="10.41"/>
    <x v="3"/>
    <s v="No"/>
    <n v="114821.84"/>
  </r>
  <r>
    <s v="TXN-20950"/>
    <x v="560"/>
    <x v="1"/>
    <x v="1"/>
    <x v="3"/>
    <x v="3"/>
    <n v="78.319999999999993"/>
    <x v="4"/>
    <s v="No"/>
    <n v="114743.52"/>
  </r>
  <r>
    <s v="TXN-20951"/>
    <x v="560"/>
    <x v="0"/>
    <x v="1"/>
    <x v="2"/>
    <x v="11"/>
    <n v="15.43"/>
    <x v="3"/>
    <s v="No"/>
    <n v="114728.09"/>
  </r>
  <r>
    <s v="TXN-20952"/>
    <x v="561"/>
    <x v="0"/>
    <x v="1"/>
    <x v="6"/>
    <x v="12"/>
    <n v="46.35"/>
    <x v="4"/>
    <s v="No"/>
    <n v="114681.74"/>
  </r>
  <r>
    <s v="TXN-20953"/>
    <x v="562"/>
    <x v="1"/>
    <x v="1"/>
    <x v="3"/>
    <x v="10"/>
    <n v="72.319999999999993"/>
    <x v="3"/>
    <s v="No"/>
    <n v="114609.42"/>
  </r>
  <r>
    <s v="TXN-20954"/>
    <x v="563"/>
    <x v="1"/>
    <x v="1"/>
    <x v="3"/>
    <x v="29"/>
    <n v="150.13999999999999"/>
    <x v="3"/>
    <s v="No"/>
    <n v="114459.28"/>
  </r>
  <r>
    <s v="TXN-20955"/>
    <x v="563"/>
    <x v="1"/>
    <x v="1"/>
    <x v="2"/>
    <x v="11"/>
    <n v="51.33"/>
    <x v="3"/>
    <s v="No"/>
    <n v="114407.95"/>
  </r>
  <r>
    <s v="TXN-20956"/>
    <x v="563"/>
    <x v="0"/>
    <x v="1"/>
    <x v="4"/>
    <x v="6"/>
    <n v="19.28"/>
    <x v="4"/>
    <s v="No"/>
    <n v="114388.67"/>
  </r>
  <r>
    <s v="TXN-20957"/>
    <x v="564"/>
    <x v="0"/>
    <x v="1"/>
    <x v="4"/>
    <x v="36"/>
    <n v="70.52"/>
    <x v="3"/>
    <s v="No"/>
    <n v="114318.15"/>
  </r>
  <r>
    <s v="TXN-20958"/>
    <x v="565"/>
    <x v="0"/>
    <x v="1"/>
    <x v="2"/>
    <x v="21"/>
    <n v="65.09"/>
    <x v="4"/>
    <s v="No"/>
    <n v="114253.06"/>
  </r>
  <r>
    <s v="TXN-20959"/>
    <x v="565"/>
    <x v="1"/>
    <x v="1"/>
    <x v="6"/>
    <x v="23"/>
    <n v="37.26"/>
    <x v="4"/>
    <s v="No"/>
    <n v="114215.8"/>
  </r>
  <r>
    <s v="TXN-20960"/>
    <x v="566"/>
    <x v="0"/>
    <x v="0"/>
    <x v="0"/>
    <x v="40"/>
    <n v="4007.26"/>
    <x v="0"/>
    <s v="Yes"/>
    <n v="118223.06"/>
  </r>
  <r>
    <s v="TXN-20961"/>
    <x v="566"/>
    <x v="1"/>
    <x v="1"/>
    <x v="2"/>
    <x v="5"/>
    <n v="20.87"/>
    <x v="4"/>
    <s v="No"/>
    <n v="118202.19"/>
  </r>
  <r>
    <s v="TXN-20962"/>
    <x v="567"/>
    <x v="0"/>
    <x v="1"/>
    <x v="3"/>
    <x v="10"/>
    <n v="31.54"/>
    <x v="3"/>
    <s v="No"/>
    <n v="118170.65"/>
  </r>
  <r>
    <s v="TXN-20963"/>
    <x v="567"/>
    <x v="1"/>
    <x v="1"/>
    <x v="6"/>
    <x v="20"/>
    <n v="18.53"/>
    <x v="4"/>
    <s v="No"/>
    <n v="118152.12"/>
  </r>
  <r>
    <s v="TXN-20964"/>
    <x v="568"/>
    <x v="0"/>
    <x v="1"/>
    <x v="2"/>
    <x v="5"/>
    <n v="71.77"/>
    <x v="3"/>
    <s v="No"/>
    <n v="118080.35"/>
  </r>
  <r>
    <s v="TXN-20965"/>
    <x v="569"/>
    <x v="0"/>
    <x v="1"/>
    <x v="3"/>
    <x v="10"/>
    <n v="24.88"/>
    <x v="3"/>
    <s v="No"/>
    <n v="118055.47"/>
  </r>
  <r>
    <s v="TXN-20966"/>
    <x v="569"/>
    <x v="1"/>
    <x v="1"/>
    <x v="6"/>
    <x v="8"/>
    <n v="42"/>
    <x v="4"/>
    <s v="No"/>
    <n v="118013.47"/>
  </r>
  <r>
    <s v="TXN-20967"/>
    <x v="570"/>
    <x v="0"/>
    <x v="1"/>
    <x v="5"/>
    <x v="7"/>
    <n v="157.69"/>
    <x v="1"/>
    <s v="Yes"/>
    <n v="117855.78"/>
  </r>
  <r>
    <s v="TXN-20968"/>
    <x v="570"/>
    <x v="1"/>
    <x v="1"/>
    <x v="3"/>
    <x v="13"/>
    <n v="28.27"/>
    <x v="4"/>
    <s v="No"/>
    <n v="117827.51"/>
  </r>
  <r>
    <s v="TXN-20969"/>
    <x v="571"/>
    <x v="0"/>
    <x v="1"/>
    <x v="5"/>
    <x v="34"/>
    <n v="94.73"/>
    <x v="1"/>
    <s v="Yes"/>
    <n v="117732.78"/>
  </r>
  <r>
    <s v="TXN-20970"/>
    <x v="571"/>
    <x v="0"/>
    <x v="1"/>
    <x v="4"/>
    <x v="38"/>
    <n v="47.43"/>
    <x v="3"/>
    <s v="No"/>
    <n v="117685.35"/>
  </r>
  <r>
    <s v="TXN-20971"/>
    <x v="572"/>
    <x v="0"/>
    <x v="1"/>
    <x v="5"/>
    <x v="41"/>
    <n v="155.71"/>
    <x v="1"/>
    <s v="Yes"/>
    <n v="117529.64"/>
  </r>
  <r>
    <s v="TXN-20972"/>
    <x v="572"/>
    <x v="1"/>
    <x v="1"/>
    <x v="6"/>
    <x v="27"/>
    <n v="53.96"/>
    <x v="4"/>
    <s v="No"/>
    <n v="117475.68"/>
  </r>
  <r>
    <s v="TXN-20973"/>
    <x v="573"/>
    <x v="0"/>
    <x v="1"/>
    <x v="6"/>
    <x v="27"/>
    <n v="14.9"/>
    <x v="3"/>
    <s v="No"/>
    <n v="117460.78"/>
  </r>
  <r>
    <s v="TXN-20974"/>
    <x v="574"/>
    <x v="0"/>
    <x v="1"/>
    <x v="2"/>
    <x v="21"/>
    <n v="38.799999999999997"/>
    <x v="3"/>
    <s v="No"/>
    <n v="117421.98"/>
  </r>
  <r>
    <s v="TXN-20975"/>
    <x v="575"/>
    <x v="1"/>
    <x v="1"/>
    <x v="5"/>
    <x v="41"/>
    <n v="227.34"/>
    <x v="1"/>
    <s v="Yes"/>
    <n v="117194.64"/>
  </r>
  <r>
    <s v="TXN-20976"/>
    <x v="575"/>
    <x v="1"/>
    <x v="1"/>
    <x v="2"/>
    <x v="2"/>
    <n v="42.67"/>
    <x v="4"/>
    <s v="No"/>
    <n v="117151.97"/>
  </r>
  <r>
    <s v="TXN-20977"/>
    <x v="575"/>
    <x v="0"/>
    <x v="1"/>
    <x v="4"/>
    <x v="15"/>
    <n v="40.21"/>
    <x v="3"/>
    <s v="No"/>
    <n v="117111.76"/>
  </r>
  <r>
    <s v="TXN-20978"/>
    <x v="576"/>
    <x v="0"/>
    <x v="1"/>
    <x v="2"/>
    <x v="18"/>
    <n v="36.65"/>
    <x v="4"/>
    <s v="No"/>
    <n v="117075.11"/>
  </r>
  <r>
    <s v="TXN-20979"/>
    <x v="577"/>
    <x v="1"/>
    <x v="1"/>
    <x v="6"/>
    <x v="14"/>
    <n v="59"/>
    <x v="3"/>
    <s v="No"/>
    <n v="117016.11"/>
  </r>
  <r>
    <s v="TXN-20980"/>
    <x v="578"/>
    <x v="0"/>
    <x v="1"/>
    <x v="3"/>
    <x v="29"/>
    <n v="134.05000000000001"/>
    <x v="4"/>
    <s v="No"/>
    <n v="116882.06"/>
  </r>
  <r>
    <s v="TXN-20981"/>
    <x v="578"/>
    <x v="0"/>
    <x v="1"/>
    <x v="6"/>
    <x v="14"/>
    <n v="56"/>
    <x v="4"/>
    <s v="No"/>
    <n v="116826.06"/>
  </r>
  <r>
    <s v="TXN-20982"/>
    <x v="578"/>
    <x v="0"/>
    <x v="1"/>
    <x v="4"/>
    <x v="22"/>
    <n v="54.91"/>
    <x v="4"/>
    <s v="No"/>
    <n v="116771.15"/>
  </r>
  <r>
    <s v="TXN-20983"/>
    <x v="579"/>
    <x v="0"/>
    <x v="0"/>
    <x v="0"/>
    <x v="40"/>
    <n v="4894.96"/>
    <x v="0"/>
    <s v="Yes"/>
    <n v="121666.11"/>
  </r>
  <r>
    <s v="TXN-20984"/>
    <x v="580"/>
    <x v="0"/>
    <x v="1"/>
    <x v="6"/>
    <x v="8"/>
    <n v="41.52"/>
    <x v="4"/>
    <s v="No"/>
    <n v="121624.59"/>
  </r>
  <r>
    <s v="TXN-20985"/>
    <x v="581"/>
    <x v="0"/>
    <x v="1"/>
    <x v="2"/>
    <x v="11"/>
    <n v="45.7"/>
    <x v="4"/>
    <s v="No"/>
    <n v="121578.89"/>
  </r>
  <r>
    <s v="TXN-20986"/>
    <x v="581"/>
    <x v="1"/>
    <x v="1"/>
    <x v="6"/>
    <x v="14"/>
    <n v="26.57"/>
    <x v="2"/>
    <s v="No"/>
    <n v="121552.32000000001"/>
  </r>
  <r>
    <s v="TXN-20987"/>
    <x v="582"/>
    <x v="0"/>
    <x v="1"/>
    <x v="3"/>
    <x v="19"/>
    <n v="171.77"/>
    <x v="3"/>
    <s v="No"/>
    <n v="121380.55"/>
  </r>
  <r>
    <s v="TXN-20988"/>
    <x v="583"/>
    <x v="1"/>
    <x v="1"/>
    <x v="6"/>
    <x v="12"/>
    <n v="28.58"/>
    <x v="3"/>
    <s v="No"/>
    <n v="121351.97"/>
  </r>
  <r>
    <s v="TXN-20989"/>
    <x v="584"/>
    <x v="0"/>
    <x v="1"/>
    <x v="2"/>
    <x v="18"/>
    <n v="22.13"/>
    <x v="2"/>
    <s v="No"/>
    <n v="121329.84"/>
  </r>
  <r>
    <s v="TXN-20990"/>
    <x v="585"/>
    <x v="0"/>
    <x v="1"/>
    <x v="2"/>
    <x v="18"/>
    <n v="70.55"/>
    <x v="2"/>
    <s v="No"/>
    <n v="121259.29"/>
  </r>
  <r>
    <s v="TXN-20991"/>
    <x v="585"/>
    <x v="1"/>
    <x v="1"/>
    <x v="6"/>
    <x v="23"/>
    <n v="15.56"/>
    <x v="3"/>
    <s v="No"/>
    <n v="121243.73"/>
  </r>
  <r>
    <s v="TXN-20992"/>
    <x v="586"/>
    <x v="1"/>
    <x v="1"/>
    <x v="2"/>
    <x v="25"/>
    <n v="68.099999999999994"/>
    <x v="3"/>
    <s v="No"/>
    <n v="121175.63"/>
  </r>
  <r>
    <s v="TXN-20993"/>
    <x v="587"/>
    <x v="0"/>
    <x v="1"/>
    <x v="2"/>
    <x v="5"/>
    <n v="18.84"/>
    <x v="2"/>
    <s v="No"/>
    <n v="121156.79"/>
  </r>
  <r>
    <s v="TXN-20994"/>
    <x v="588"/>
    <x v="1"/>
    <x v="1"/>
    <x v="3"/>
    <x v="29"/>
    <n v="46.62"/>
    <x v="4"/>
    <s v="No"/>
    <n v="121110.17"/>
  </r>
  <r>
    <s v="TXN-20995"/>
    <x v="588"/>
    <x v="1"/>
    <x v="1"/>
    <x v="2"/>
    <x v="5"/>
    <n v="20.54"/>
    <x v="2"/>
    <s v="No"/>
    <n v="121089.63"/>
  </r>
  <r>
    <s v="TXN-20996"/>
    <x v="589"/>
    <x v="0"/>
    <x v="1"/>
    <x v="2"/>
    <x v="18"/>
    <n v="15.37"/>
    <x v="3"/>
    <s v="No"/>
    <n v="121074.26"/>
  </r>
  <r>
    <s v="TXN-20997"/>
    <x v="590"/>
    <x v="0"/>
    <x v="1"/>
    <x v="6"/>
    <x v="8"/>
    <n v="46.4"/>
    <x v="3"/>
    <s v="No"/>
    <n v="121027.86"/>
  </r>
  <r>
    <s v="TXN-20998"/>
    <x v="591"/>
    <x v="0"/>
    <x v="1"/>
    <x v="6"/>
    <x v="16"/>
    <n v="29"/>
    <x v="3"/>
    <s v="No"/>
    <n v="120998.86"/>
  </r>
  <r>
    <s v="TXN-20999"/>
    <x v="592"/>
    <x v="0"/>
    <x v="1"/>
    <x v="3"/>
    <x v="10"/>
    <n v="177.3"/>
    <x v="3"/>
    <s v="No"/>
    <n v="120821.56"/>
  </r>
  <r>
    <s v="TXN-21000"/>
    <x v="593"/>
    <x v="1"/>
    <x v="1"/>
    <x v="2"/>
    <x v="31"/>
    <n v="68.02"/>
    <x v="4"/>
    <s v="No"/>
    <n v="120753.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EC1610-2EDD-4393-A62B-BB2E89BDE67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B29:C32" firstHeaderRow="1" firstDataRow="1" firstDataCol="1" rowPageCount="1" colPageCount="1"/>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x="0"/>
        <item x="1"/>
        <item x="2"/>
        <item t="default"/>
      </items>
    </pivotField>
    <pivotField axis="axisPage" multipleItemSelectionAllowed="1" showAll="0">
      <items count="3">
        <item h="1" x="1"/>
        <item x="0"/>
        <item t="default"/>
      </items>
    </pivotField>
    <pivotField axis="axisRow" showAll="0">
      <items count="9">
        <item x="2"/>
        <item x="4"/>
        <item x="7"/>
        <item x="3"/>
        <item x="1"/>
        <item x="0"/>
        <item x="6"/>
        <item x="5"/>
        <item t="default"/>
      </items>
    </pivotField>
    <pivotField showAll="0"/>
    <pivotField dataField="1" numFmtId="165" showAll="0"/>
    <pivotField showAll="0"/>
    <pivotField showAll="0"/>
    <pivotField numFmtId="165" showAll="0"/>
    <pivotField showAll="0" defaultSubtotal="0"/>
    <pivotField showAll="0" defaultSubtotal="0"/>
    <pivotField showAll="0" defaultSubtotal="0">
      <items count="4">
        <item x="0"/>
        <item x="1"/>
        <item x="2"/>
        <item x="3"/>
      </items>
    </pivotField>
  </pivotFields>
  <rowFields count="1">
    <field x="4"/>
  </rowFields>
  <rowItems count="3">
    <i>
      <x v="2"/>
    </i>
    <i>
      <x v="5"/>
    </i>
    <i t="grand">
      <x/>
    </i>
  </rowItems>
  <colItems count="1">
    <i/>
  </colItems>
  <pageFields count="1">
    <pageField fld="3" hier="-1"/>
  </pageFields>
  <dataFields count="1">
    <dataField name="Sum of Amount" fld="6" baseField="0" baseItem="0" numFmtId="165"/>
  </dataFields>
  <chartFormats count="4">
    <chartFormat chart="14"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B0B080-0914-4F5F-8F36-997F253B354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44:B52" firstHeaderRow="1" firstDataRow="1" firstDataCol="1" rowPageCount="1" colPageCount="1"/>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x="0"/>
        <item x="1"/>
        <item x="2"/>
        <item t="default"/>
      </items>
    </pivotField>
    <pivotField axis="axisPage" showAll="0">
      <items count="3">
        <item x="1"/>
        <item x="0"/>
        <item t="default"/>
      </items>
    </pivotField>
    <pivotField showAll="0"/>
    <pivotField showAll="0"/>
    <pivotField dataField="1" numFmtId="165" showAll="0"/>
    <pivotField axis="axisRow" showAll="0">
      <items count="8">
        <item x="1"/>
        <item x="2"/>
        <item x="6"/>
        <item x="3"/>
        <item x="4"/>
        <item x="0"/>
        <item x="5"/>
        <item t="default"/>
      </items>
    </pivotField>
    <pivotField showAll="0"/>
    <pivotField numFmtId="165" showAll="0"/>
    <pivotField showAll="0" defaultSubtotal="0"/>
    <pivotField showAll="0" defaultSubtotal="0"/>
    <pivotField showAll="0" defaultSubtotal="0">
      <items count="4">
        <item x="0"/>
        <item x="1"/>
        <item x="2"/>
        <item x="3"/>
      </items>
    </pivotField>
  </pivotFields>
  <rowFields count="1">
    <field x="7"/>
  </rowFields>
  <rowItems count="8">
    <i>
      <x/>
    </i>
    <i>
      <x v="1"/>
    </i>
    <i>
      <x v="2"/>
    </i>
    <i>
      <x v="3"/>
    </i>
    <i>
      <x v="4"/>
    </i>
    <i>
      <x v="5"/>
    </i>
    <i>
      <x v="6"/>
    </i>
    <i t="grand">
      <x/>
    </i>
  </rowItems>
  <colItems count="1">
    <i/>
  </colItems>
  <pageFields count="1">
    <pageField fld="3" hier="-1"/>
  </pageFields>
  <dataFields count="1">
    <dataField name="Sum of Amount" fld="6" baseField="0" baseItem="0" numFmtId="165"/>
  </dataFields>
  <chartFormats count="2">
    <chartFormat chart="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29E99A2-CCF2-4999-9523-FC359228FAAE}"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58:C161" firstHeaderRow="1" firstDataRow="1" firstDataCol="1"/>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x="0"/>
        <item x="1"/>
        <item x="2"/>
        <item t="default"/>
      </items>
    </pivotField>
    <pivotField axis="axisRow" showAll="0">
      <items count="3">
        <item x="1"/>
        <item x="0"/>
        <item t="default"/>
      </items>
    </pivotField>
    <pivotField showAll="0"/>
    <pivotField showAll="0"/>
    <pivotField dataField="1" numFmtId="165" showAll="0"/>
    <pivotField showAll="0"/>
    <pivotField showAll="0"/>
    <pivotField numFmtId="165" showAll="0"/>
    <pivotField showAll="0" defaultSubtotal="0"/>
    <pivotField showAll="0" defaultSubtotal="0"/>
    <pivotField showAll="0" defaultSubtotal="0">
      <items count="4">
        <item x="0"/>
        <item x="1"/>
        <item x="2"/>
        <item x="3"/>
      </items>
    </pivotField>
  </pivotFields>
  <rowFields count="1">
    <field x="3"/>
  </rowFields>
  <rowItems count="3">
    <i>
      <x/>
    </i>
    <i>
      <x v="1"/>
    </i>
    <i t="grand">
      <x/>
    </i>
  </rowItems>
  <colItems count="1">
    <i/>
  </colItems>
  <dataFields count="1">
    <dataField name="Sum of Amount" fld="6"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D02204-25DE-42E4-B7E8-616D1E81BB8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C111:D115" firstHeaderRow="1" firstDataRow="1" firstDataCol="1" rowPageCount="1" colPageCount="1"/>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axis="axisRow" showAll="0">
      <items count="4">
        <item x="0"/>
        <item x="1"/>
        <item x="2"/>
        <item t="default"/>
      </items>
    </pivotField>
    <pivotField axis="axisPage" showAll="0">
      <items count="3">
        <item x="1"/>
        <item x="0"/>
        <item t="default"/>
      </items>
    </pivotField>
    <pivotField showAll="0"/>
    <pivotField showAll="0"/>
    <pivotField dataField="1" numFmtId="165" showAll="0"/>
    <pivotField showAll="0"/>
    <pivotField showAll="0"/>
    <pivotField numFmtId="165" showAll="0"/>
    <pivotField showAll="0" defaultSubtotal="0"/>
    <pivotField showAll="0" defaultSubtotal="0"/>
    <pivotField showAll="0" defaultSubtotal="0">
      <items count="4">
        <item x="0"/>
        <item x="1"/>
        <item x="2"/>
        <item x="3"/>
      </items>
    </pivotField>
  </pivotFields>
  <rowFields count="1">
    <field x="2"/>
  </rowFields>
  <rowItems count="4">
    <i>
      <x/>
    </i>
    <i>
      <x v="1"/>
    </i>
    <i>
      <x v="2"/>
    </i>
    <i t="grand">
      <x/>
    </i>
  </rowItems>
  <colItems count="1">
    <i/>
  </colItems>
  <pageFields count="1">
    <pageField fld="3" hier="-1"/>
  </pageFields>
  <dataFields count="1">
    <dataField name="Sum of Amount" fld="6" baseField="0" baseItem="0" numFmtId="165"/>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1" format="4" series="1">
      <pivotArea type="data" outline="0" fieldPosition="0">
        <references count="1">
          <reference field="4294967294" count="1" selected="0">
            <x v="0"/>
          </reference>
        </references>
      </pivotArea>
    </chartFormat>
    <chartFormat chart="1" format="5">
      <pivotArea type="data" outline="0" fieldPosition="0">
        <references count="2">
          <reference field="4294967294" count="1" selected="0">
            <x v="0"/>
          </reference>
          <reference field="2" count="1" selected="0">
            <x v="0"/>
          </reference>
        </references>
      </pivotArea>
    </chartFormat>
    <chartFormat chart="1" format="6">
      <pivotArea type="data" outline="0" fieldPosition="0">
        <references count="2">
          <reference field="4294967294" count="1" selected="0">
            <x v="0"/>
          </reference>
          <reference field="2" count="1" selected="0">
            <x v="1"/>
          </reference>
        </references>
      </pivotArea>
    </chartFormat>
    <chartFormat chart="1" format="7">
      <pivotArea type="data" outline="0" fieldPosition="0">
        <references count="2">
          <reference field="4294967294" count="1" selected="0">
            <x v="0"/>
          </reference>
          <reference field="2"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2" count="1" selected="0">
            <x v="0"/>
          </reference>
        </references>
      </pivotArea>
    </chartFormat>
    <chartFormat chart="2" format="10">
      <pivotArea type="data" outline="0" fieldPosition="0">
        <references count="2">
          <reference field="4294967294" count="1" selected="0">
            <x v="0"/>
          </reference>
          <reference field="2" count="1" selected="0">
            <x v="1"/>
          </reference>
        </references>
      </pivotArea>
    </chartFormat>
    <chartFormat chart="2" format="11">
      <pivotArea type="data" outline="0" fieldPosition="0">
        <references count="2">
          <reference field="4294967294" count="1" selected="0">
            <x v="0"/>
          </reference>
          <reference field="2"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2" count="1" selected="0">
            <x v="0"/>
          </reference>
        </references>
      </pivotArea>
    </chartFormat>
    <chartFormat chart="3" format="10">
      <pivotArea type="data" outline="0" fieldPosition="0">
        <references count="2">
          <reference field="4294967294" count="1" selected="0">
            <x v="0"/>
          </reference>
          <reference field="2" count="1" selected="0">
            <x v="1"/>
          </reference>
        </references>
      </pivotArea>
    </chartFormat>
    <chartFormat chart="3" format="1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A45D94-1504-41D4-8863-9F7360E60A3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5">
  <location ref="L2:O11" firstHeaderRow="1" firstDataRow="2" firstDataCol="1"/>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x="0"/>
        <item x="1"/>
        <item x="2"/>
        <item t="default"/>
      </items>
    </pivotField>
    <pivotField axis="axisCol" showAll="0">
      <items count="3">
        <item x="1"/>
        <item x="0"/>
        <item t="default"/>
      </items>
    </pivotField>
    <pivotField axis="axisRow" showAll="0" measureFilter="1" sortType="ascending">
      <items count="9">
        <item x="2"/>
        <item x="4"/>
        <item x="7"/>
        <item x="3"/>
        <item x="1"/>
        <item x="0"/>
        <item x="6"/>
        <item x="5"/>
        <item t="default"/>
      </items>
    </pivotField>
    <pivotField showAll="0"/>
    <pivotField dataField="1" numFmtId="165" showAll="0"/>
    <pivotField showAll="0"/>
    <pivotField showAll="0"/>
    <pivotField numFmtId="165" showAll="0"/>
    <pivotField showAll="0" defaultSubtotal="0"/>
    <pivotField showAll="0" defaultSubtotal="0"/>
    <pivotField showAll="0" defaultSubtotal="0">
      <items count="4">
        <item x="0"/>
        <item x="1"/>
        <item x="2"/>
        <item x="3"/>
      </items>
    </pivotField>
  </pivotFields>
  <rowFields count="1">
    <field x="4"/>
  </rowFields>
  <rowItems count="8">
    <i>
      <x/>
    </i>
    <i>
      <x v="2"/>
    </i>
    <i>
      <x v="3"/>
    </i>
    <i>
      <x v="4"/>
    </i>
    <i>
      <x v="5"/>
    </i>
    <i>
      <x v="6"/>
    </i>
    <i>
      <x v="7"/>
    </i>
    <i t="grand">
      <x/>
    </i>
  </rowItems>
  <colFields count="1">
    <field x="3"/>
  </colFields>
  <colItems count="3">
    <i>
      <x/>
    </i>
    <i>
      <x v="1"/>
    </i>
    <i t="grand">
      <x/>
    </i>
  </colItems>
  <dataFields count="1">
    <dataField name="Sum of Amount" fld="6" baseField="0" baseItem="0" numFmtId="165"/>
  </dataFields>
  <chartFormats count="38">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1"/>
          </reference>
        </references>
      </pivotArea>
    </chartFormat>
    <chartFormat chart="2" format="2">
      <pivotArea type="data" outline="0" fieldPosition="0">
        <references count="3">
          <reference field="4294967294" count="1" selected="0">
            <x v="0"/>
          </reference>
          <reference field="3" count="1" selected="0">
            <x v="0"/>
          </reference>
          <reference field="4" count="1" selected="0">
            <x v="0"/>
          </reference>
        </references>
      </pivotArea>
    </chartFormat>
    <chartFormat chart="2" format="3">
      <pivotArea type="data" outline="0" fieldPosition="0">
        <references count="3">
          <reference field="4294967294" count="1" selected="0">
            <x v="0"/>
          </reference>
          <reference field="3" count="1" selected="0">
            <x v="0"/>
          </reference>
          <reference field="4" count="1" selected="0">
            <x v="1"/>
          </reference>
        </references>
      </pivotArea>
    </chartFormat>
    <chartFormat chart="2" format="4">
      <pivotArea type="data" outline="0" fieldPosition="0">
        <references count="3">
          <reference field="4294967294" count="1" selected="0">
            <x v="0"/>
          </reference>
          <reference field="3" count="1" selected="0">
            <x v="0"/>
          </reference>
          <reference field="4" count="1" selected="0">
            <x v="2"/>
          </reference>
        </references>
      </pivotArea>
    </chartFormat>
    <chartFormat chart="2" format="5">
      <pivotArea type="data" outline="0" fieldPosition="0">
        <references count="3">
          <reference field="4294967294" count="1" selected="0">
            <x v="0"/>
          </reference>
          <reference field="3" count="1" selected="0">
            <x v="0"/>
          </reference>
          <reference field="4" count="1" selected="0">
            <x v="3"/>
          </reference>
        </references>
      </pivotArea>
    </chartFormat>
    <chartFormat chart="2" format="6">
      <pivotArea type="data" outline="0" fieldPosition="0">
        <references count="3">
          <reference field="4294967294" count="1" selected="0">
            <x v="0"/>
          </reference>
          <reference field="3" count="1" selected="0">
            <x v="0"/>
          </reference>
          <reference field="4" count="1" selected="0">
            <x v="4"/>
          </reference>
        </references>
      </pivotArea>
    </chartFormat>
    <chartFormat chart="2" format="7">
      <pivotArea type="data" outline="0" fieldPosition="0">
        <references count="3">
          <reference field="4294967294" count="1" selected="0">
            <x v="0"/>
          </reference>
          <reference field="3" count="1" selected="0">
            <x v="0"/>
          </reference>
          <reference field="4" count="1" selected="0">
            <x v="5"/>
          </reference>
        </references>
      </pivotArea>
    </chartFormat>
    <chartFormat chart="2" format="8">
      <pivotArea type="data" outline="0" fieldPosition="0">
        <references count="3">
          <reference field="4294967294" count="1" selected="0">
            <x v="0"/>
          </reference>
          <reference field="3" count="1" selected="0">
            <x v="0"/>
          </reference>
          <reference field="4" count="1" selected="0">
            <x v="6"/>
          </reference>
        </references>
      </pivotArea>
    </chartFormat>
    <chartFormat chart="2" format="9">
      <pivotArea type="data" outline="0" fieldPosition="0">
        <references count="3">
          <reference field="4294967294" count="1" selected="0">
            <x v="0"/>
          </reference>
          <reference field="3" count="1" selected="0">
            <x v="0"/>
          </reference>
          <reference field="4" count="1" selected="0">
            <x v="7"/>
          </reference>
        </references>
      </pivotArea>
    </chartFormat>
    <chartFormat chart="2" format="10">
      <pivotArea type="data" outline="0" fieldPosition="0">
        <references count="3">
          <reference field="4294967294" count="1" selected="0">
            <x v="0"/>
          </reference>
          <reference field="3" count="1" selected="0">
            <x v="1"/>
          </reference>
          <reference field="4" count="1" selected="0">
            <x v="0"/>
          </reference>
        </references>
      </pivotArea>
    </chartFormat>
    <chartFormat chart="2" format="11">
      <pivotArea type="data" outline="0" fieldPosition="0">
        <references count="3">
          <reference field="4294967294" count="1" selected="0">
            <x v="0"/>
          </reference>
          <reference field="3" count="1" selected="0">
            <x v="1"/>
          </reference>
          <reference field="4" count="1" selected="0">
            <x v="1"/>
          </reference>
        </references>
      </pivotArea>
    </chartFormat>
    <chartFormat chart="2" format="12">
      <pivotArea type="data" outline="0" fieldPosition="0">
        <references count="3">
          <reference field="4294967294" count="1" selected="0">
            <x v="0"/>
          </reference>
          <reference field="3" count="1" selected="0">
            <x v="1"/>
          </reference>
          <reference field="4" count="1" selected="0">
            <x v="2"/>
          </reference>
        </references>
      </pivotArea>
    </chartFormat>
    <chartFormat chart="2" format="13">
      <pivotArea type="data" outline="0" fieldPosition="0">
        <references count="3">
          <reference field="4294967294" count="1" selected="0">
            <x v="0"/>
          </reference>
          <reference field="3" count="1" selected="0">
            <x v="1"/>
          </reference>
          <reference field="4" count="1" selected="0">
            <x v="3"/>
          </reference>
        </references>
      </pivotArea>
    </chartFormat>
    <chartFormat chart="2" format="14">
      <pivotArea type="data" outline="0" fieldPosition="0">
        <references count="3">
          <reference field="4294967294" count="1" selected="0">
            <x v="0"/>
          </reference>
          <reference field="3" count="1" selected="0">
            <x v="1"/>
          </reference>
          <reference field="4" count="1" selected="0">
            <x v="4"/>
          </reference>
        </references>
      </pivotArea>
    </chartFormat>
    <chartFormat chart="2" format="15">
      <pivotArea type="data" outline="0" fieldPosition="0">
        <references count="3">
          <reference field="4294967294" count="1" selected="0">
            <x v="0"/>
          </reference>
          <reference field="3" count="1" selected="0">
            <x v="1"/>
          </reference>
          <reference field="4" count="1" selected="0">
            <x v="5"/>
          </reference>
        </references>
      </pivotArea>
    </chartFormat>
    <chartFormat chart="2" format="16">
      <pivotArea type="data" outline="0" fieldPosition="0">
        <references count="3">
          <reference field="4294967294" count="1" selected="0">
            <x v="0"/>
          </reference>
          <reference field="3" count="1" selected="0">
            <x v="1"/>
          </reference>
          <reference field="4" count="1" selected="0">
            <x v="6"/>
          </reference>
        </references>
      </pivotArea>
    </chartFormat>
    <chartFormat chart="2" format="17">
      <pivotArea type="data" outline="0" fieldPosition="0">
        <references count="3">
          <reference field="4294967294" count="1" selected="0">
            <x v="0"/>
          </reference>
          <reference field="3" count="1" selected="0">
            <x v="1"/>
          </reference>
          <reference field="4" count="1" selected="0">
            <x v="7"/>
          </reference>
        </references>
      </pivotArea>
    </chartFormat>
    <chartFormat chart="35" format="36" series="1">
      <pivotArea type="data" outline="0" fieldPosition="0">
        <references count="2">
          <reference field="4294967294" count="1" selected="0">
            <x v="0"/>
          </reference>
          <reference field="3" count="1" selected="0">
            <x v="0"/>
          </reference>
        </references>
      </pivotArea>
    </chartFormat>
    <chartFormat chart="35" format="37">
      <pivotArea type="data" outline="0" fieldPosition="0">
        <references count="3">
          <reference field="4294967294" count="1" selected="0">
            <x v="0"/>
          </reference>
          <reference field="3" count="1" selected="0">
            <x v="0"/>
          </reference>
          <reference field="4" count="1" selected="0">
            <x v="0"/>
          </reference>
        </references>
      </pivotArea>
    </chartFormat>
    <chartFormat chart="35" format="38">
      <pivotArea type="data" outline="0" fieldPosition="0">
        <references count="3">
          <reference field="4294967294" count="1" selected="0">
            <x v="0"/>
          </reference>
          <reference field="3" count="1" selected="0">
            <x v="0"/>
          </reference>
          <reference field="4" count="1" selected="0">
            <x v="1"/>
          </reference>
        </references>
      </pivotArea>
    </chartFormat>
    <chartFormat chart="35" format="39">
      <pivotArea type="data" outline="0" fieldPosition="0">
        <references count="3">
          <reference field="4294967294" count="1" selected="0">
            <x v="0"/>
          </reference>
          <reference field="3" count="1" selected="0">
            <x v="0"/>
          </reference>
          <reference field="4" count="1" selected="0">
            <x v="2"/>
          </reference>
        </references>
      </pivotArea>
    </chartFormat>
    <chartFormat chart="35" format="40">
      <pivotArea type="data" outline="0" fieldPosition="0">
        <references count="3">
          <reference field="4294967294" count="1" selected="0">
            <x v="0"/>
          </reference>
          <reference field="3" count="1" selected="0">
            <x v="0"/>
          </reference>
          <reference field="4" count="1" selected="0">
            <x v="3"/>
          </reference>
        </references>
      </pivotArea>
    </chartFormat>
    <chartFormat chart="35" format="41">
      <pivotArea type="data" outline="0" fieldPosition="0">
        <references count="3">
          <reference field="4294967294" count="1" selected="0">
            <x v="0"/>
          </reference>
          <reference field="3" count="1" selected="0">
            <x v="0"/>
          </reference>
          <reference field="4" count="1" selected="0">
            <x v="4"/>
          </reference>
        </references>
      </pivotArea>
    </chartFormat>
    <chartFormat chart="35" format="42">
      <pivotArea type="data" outline="0" fieldPosition="0">
        <references count="3">
          <reference field="4294967294" count="1" selected="0">
            <x v="0"/>
          </reference>
          <reference field="3" count="1" selected="0">
            <x v="0"/>
          </reference>
          <reference field="4" count="1" selected="0">
            <x v="5"/>
          </reference>
        </references>
      </pivotArea>
    </chartFormat>
    <chartFormat chart="35" format="43">
      <pivotArea type="data" outline="0" fieldPosition="0">
        <references count="3">
          <reference field="4294967294" count="1" selected="0">
            <x v="0"/>
          </reference>
          <reference field="3" count="1" selected="0">
            <x v="0"/>
          </reference>
          <reference field="4" count="1" selected="0">
            <x v="6"/>
          </reference>
        </references>
      </pivotArea>
    </chartFormat>
    <chartFormat chart="35" format="44">
      <pivotArea type="data" outline="0" fieldPosition="0">
        <references count="3">
          <reference field="4294967294" count="1" selected="0">
            <x v="0"/>
          </reference>
          <reference field="3" count="1" selected="0">
            <x v="0"/>
          </reference>
          <reference field="4" count="1" selected="0">
            <x v="7"/>
          </reference>
        </references>
      </pivotArea>
    </chartFormat>
    <chartFormat chart="35" format="45" series="1">
      <pivotArea type="data" outline="0" fieldPosition="0">
        <references count="2">
          <reference field="4294967294" count="1" selected="0">
            <x v="0"/>
          </reference>
          <reference field="3" count="1" selected="0">
            <x v="1"/>
          </reference>
        </references>
      </pivotArea>
    </chartFormat>
    <chartFormat chart="35" format="46">
      <pivotArea type="data" outline="0" fieldPosition="0">
        <references count="3">
          <reference field="4294967294" count="1" selected="0">
            <x v="0"/>
          </reference>
          <reference field="3" count="1" selected="0">
            <x v="1"/>
          </reference>
          <reference field="4" count="1" selected="0">
            <x v="0"/>
          </reference>
        </references>
      </pivotArea>
    </chartFormat>
    <chartFormat chart="35" format="47">
      <pivotArea type="data" outline="0" fieldPosition="0">
        <references count="3">
          <reference field="4294967294" count="1" selected="0">
            <x v="0"/>
          </reference>
          <reference field="3" count="1" selected="0">
            <x v="1"/>
          </reference>
          <reference field="4" count="1" selected="0">
            <x v="1"/>
          </reference>
        </references>
      </pivotArea>
    </chartFormat>
    <chartFormat chart="35" format="48">
      <pivotArea type="data" outline="0" fieldPosition="0">
        <references count="3">
          <reference field="4294967294" count="1" selected="0">
            <x v="0"/>
          </reference>
          <reference field="3" count="1" selected="0">
            <x v="1"/>
          </reference>
          <reference field="4" count="1" selected="0">
            <x v="2"/>
          </reference>
        </references>
      </pivotArea>
    </chartFormat>
    <chartFormat chart="35" format="49">
      <pivotArea type="data" outline="0" fieldPosition="0">
        <references count="3">
          <reference field="4294967294" count="1" selected="0">
            <x v="0"/>
          </reference>
          <reference field="3" count="1" selected="0">
            <x v="1"/>
          </reference>
          <reference field="4" count="1" selected="0">
            <x v="3"/>
          </reference>
        </references>
      </pivotArea>
    </chartFormat>
    <chartFormat chart="35" format="50">
      <pivotArea type="data" outline="0" fieldPosition="0">
        <references count="3">
          <reference field="4294967294" count="1" selected="0">
            <x v="0"/>
          </reference>
          <reference field="3" count="1" selected="0">
            <x v="1"/>
          </reference>
          <reference field="4" count="1" selected="0">
            <x v="4"/>
          </reference>
        </references>
      </pivotArea>
    </chartFormat>
    <chartFormat chart="35" format="51">
      <pivotArea type="data" outline="0" fieldPosition="0">
        <references count="3">
          <reference field="4294967294" count="1" selected="0">
            <x v="0"/>
          </reference>
          <reference field="3" count="1" selected="0">
            <x v="1"/>
          </reference>
          <reference field="4" count="1" selected="0">
            <x v="5"/>
          </reference>
        </references>
      </pivotArea>
    </chartFormat>
    <chartFormat chart="35" format="52">
      <pivotArea type="data" outline="0" fieldPosition="0">
        <references count="3">
          <reference field="4294967294" count="1" selected="0">
            <x v="0"/>
          </reference>
          <reference field="3" count="1" selected="0">
            <x v="1"/>
          </reference>
          <reference field="4" count="1" selected="0">
            <x v="6"/>
          </reference>
        </references>
      </pivotArea>
    </chartFormat>
    <chartFormat chart="35" format="53">
      <pivotArea type="data" outline="0" fieldPosition="0">
        <references count="3">
          <reference field="4294967294" count="1" selected="0">
            <x v="0"/>
          </reference>
          <reference field="3" count="1" selected="0">
            <x v="1"/>
          </reference>
          <reference field="4" count="1" selected="0">
            <x v="7"/>
          </reference>
        </references>
      </pivotArea>
    </chartFormat>
    <chartFormat chart="35" format="54" series="1">
      <pivotArea type="data" outline="0" fieldPosition="0">
        <references count="1">
          <reference field="4294967294" count="1" selected="0">
            <x v="0"/>
          </reference>
        </references>
      </pivotArea>
    </chartFormat>
    <chartFormat chart="2"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7" filterVal="7"/>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40B1D91-6EF4-4661-9E4D-5E1E67727A87}"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64:B75" firstHeaderRow="1" firstDataRow="1" firstDataCol="1" rowPageCount="1" colPageCount="1"/>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x="0"/>
        <item x="1"/>
        <item x="2"/>
        <item t="default"/>
      </items>
    </pivotField>
    <pivotField axis="axisPage" showAll="0">
      <items count="3">
        <item x="1"/>
        <item x="0"/>
        <item t="default"/>
      </items>
    </pivotField>
    <pivotField showAll="0"/>
    <pivotField axis="axisRow" showAll="0" measureFilter="1" sortType="descending">
      <items count="45">
        <item x="13"/>
        <item x="34"/>
        <item x="3"/>
        <item x="28"/>
        <item x="11"/>
        <item x="8"/>
        <item x="10"/>
        <item x="2"/>
        <item x="37"/>
        <item x="33"/>
        <item x="38"/>
        <item x="16"/>
        <item x="29"/>
        <item x="24"/>
        <item x="27"/>
        <item x="18"/>
        <item x="5"/>
        <item x="6"/>
        <item x="20"/>
        <item x="4"/>
        <item x="23"/>
        <item x="31"/>
        <item x="39"/>
        <item x="19"/>
        <item x="35"/>
        <item x="41"/>
        <item x="9"/>
        <item x="32"/>
        <item x="12"/>
        <item x="0"/>
        <item x="26"/>
        <item x="25"/>
        <item x="17"/>
        <item x="43"/>
        <item x="15"/>
        <item x="40"/>
        <item x="42"/>
        <item x="21"/>
        <item x="7"/>
        <item x="14"/>
        <item x="36"/>
        <item x="1"/>
        <item x="22"/>
        <item x="30"/>
        <item t="default"/>
      </items>
    </pivotField>
    <pivotField dataField="1" numFmtId="165" showAll="0"/>
    <pivotField showAll="0"/>
    <pivotField showAll="0"/>
    <pivotField numFmtId="165" showAll="0"/>
    <pivotField showAll="0" defaultSubtotal="0"/>
    <pivotField showAll="0" defaultSubtotal="0"/>
    <pivotField showAll="0" defaultSubtotal="0">
      <items count="4">
        <item x="0"/>
        <item x="1"/>
        <item x="2"/>
        <item x="3"/>
      </items>
    </pivotField>
  </pivotFields>
  <rowFields count="1">
    <field x="5"/>
  </rowFields>
  <rowItems count="11">
    <i>
      <x v="3"/>
    </i>
    <i>
      <x v="13"/>
    </i>
    <i>
      <x v="22"/>
    </i>
    <i>
      <x v="27"/>
    </i>
    <i>
      <x v="29"/>
    </i>
    <i>
      <x v="33"/>
    </i>
    <i>
      <x v="35"/>
    </i>
    <i>
      <x v="36"/>
    </i>
    <i>
      <x v="41"/>
    </i>
    <i>
      <x v="43"/>
    </i>
    <i t="grand">
      <x/>
    </i>
  </rowItems>
  <colItems count="1">
    <i/>
  </colItems>
  <pageFields count="1">
    <pageField fld="3" hier="-1"/>
  </pageFields>
  <dataFields count="1">
    <dataField name="Sum of Amount" fld="6" baseField="0" baseItem="0" numFmtId="165"/>
  </dataFields>
  <chartFormats count="6">
    <chartFormat chart="0"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4" format="3"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8E5446F-703F-4875-BF1B-EF1A5C2398A3}" name="PivotTable1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173:D190" firstHeaderRow="1" firstDataRow="1" firstDataCol="0"/>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pivotField showAll="0">
      <items count="3">
        <item x="1"/>
        <item x="0"/>
        <item t="default"/>
      </items>
    </pivotField>
    <pivotField showAll="0"/>
    <pivotField showAll="0"/>
    <pivotField numFmtId="165" showAll="0"/>
    <pivotField showAll="0"/>
    <pivotField showAll="0"/>
    <pivotField numFmtId="165" showAll="0"/>
    <pivotField showAll="0" defaultSubtotal="0"/>
    <pivotField showAll="0" defaultSubtotal="0"/>
    <pivotField showAll="0" defaultSubtotal="0">
      <items count="4">
        <item x="0"/>
        <item x="1"/>
        <item x="2"/>
        <item x="3"/>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2FDCA3D-7377-48B9-BE20-54C317A2FCE7}"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154:C155" firstHeaderRow="1" firstDataRow="1" firstDataCol="0" rowPageCount="1" colPageCount="1"/>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x="0"/>
        <item x="1"/>
        <item x="2"/>
        <item t="default"/>
      </items>
    </pivotField>
    <pivotField axis="axisPage" multipleItemSelectionAllowed="1" showAll="0">
      <items count="3">
        <item x="1"/>
        <item x="0"/>
        <item t="default"/>
      </items>
    </pivotField>
    <pivotField showAll="0"/>
    <pivotField showAll="0"/>
    <pivotField dataField="1" numFmtId="165" showAll="0"/>
    <pivotField showAll="0"/>
    <pivotField showAll="0"/>
    <pivotField numFmtId="165" showAll="0"/>
    <pivotField showAll="0" defaultSubtotal="0"/>
    <pivotField showAll="0" defaultSubtotal="0"/>
    <pivotField showAll="0" defaultSubtotal="0">
      <items count="4">
        <item x="0"/>
        <item x="1"/>
        <item x="2"/>
        <item x="3"/>
      </items>
    </pivotField>
  </pivotFields>
  <rowItems count="1">
    <i/>
  </rowItems>
  <colItems count="1">
    <i/>
  </colItems>
  <pageFields count="1">
    <pageField fld="3" hier="-1"/>
  </pageFields>
  <dataFields count="1">
    <dataField name="Sum of Amount" fld="6"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FE09062-CDD4-4A06-87EA-DC5317C350D7}"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29:D146" firstHeaderRow="1" firstDataRow="1" firstDataCol="0"/>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x="0"/>
        <item x="1"/>
        <item x="2"/>
        <item t="default"/>
      </items>
    </pivotField>
    <pivotField showAll="0">
      <items count="3">
        <item x="1"/>
        <item x="0"/>
        <item t="default"/>
      </items>
    </pivotField>
    <pivotField showAll="0"/>
    <pivotField showAll="0"/>
    <pivotField numFmtId="165" showAll="0"/>
    <pivotField showAll="0"/>
    <pivotField showAll="0"/>
    <pivotField numFmtId="165" showAll="0"/>
    <pivotField showAll="0" defaultSubtotal="0"/>
    <pivotField showAll="0" defaultSubtotal="0"/>
    <pivotField showAll="0" defaultSubtotal="0">
      <items count="4">
        <item x="0"/>
        <item x="1"/>
        <item x="2"/>
        <item x="3"/>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3E4E710-E0E7-4084-9336-678FC951DD3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A2:D6" firstHeaderRow="1" firstDataRow="2" firstDataCol="1"/>
  <pivotFields count="13">
    <pivotField showAll="0"/>
    <pivotField axis="axisRow"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x="0"/>
        <item x="1"/>
        <item x="2"/>
        <item t="default"/>
      </items>
    </pivotField>
    <pivotField axis="axisCol" showAll="0">
      <items count="3">
        <item x="1"/>
        <item x="0"/>
        <item t="default"/>
      </items>
    </pivotField>
    <pivotField showAll="0"/>
    <pivotField showAll="0"/>
    <pivotField dataField="1" numFmtId="165" showAll="0"/>
    <pivotField showAll="0"/>
    <pivotField showAll="0"/>
    <pivotField numFmtId="165"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5">
        <item sd="0" x="0"/>
        <item sd="0" x="1"/>
        <item sd="0" x="2"/>
        <item sd="0" x="3"/>
        <item t="default"/>
      </items>
    </pivotField>
  </pivotFields>
  <rowFields count="4">
    <field x="12"/>
    <field x="10"/>
    <field x="1"/>
    <field x="11"/>
  </rowFields>
  <rowItems count="3">
    <i>
      <x v="1"/>
    </i>
    <i>
      <x v="2"/>
    </i>
    <i t="grand">
      <x/>
    </i>
  </rowItems>
  <colFields count="1">
    <field x="3"/>
  </colFields>
  <colItems count="3">
    <i>
      <x/>
    </i>
    <i>
      <x v="1"/>
    </i>
    <i t="grand">
      <x/>
    </i>
  </colItems>
  <dataFields count="1">
    <dataField name="Sum of Amount" fld="6" baseField="0" baseItem="0" numFmtId="165"/>
  </dataFields>
  <chartFormats count="14">
    <chartFormat chart="17" format="0" series="1">
      <pivotArea type="data" outline="0" fieldPosition="0">
        <references count="2">
          <reference field="4294967294" count="1" selected="0">
            <x v="0"/>
          </reference>
          <reference field="3" count="1" selected="0">
            <x v="0"/>
          </reference>
        </references>
      </pivotArea>
    </chartFormat>
    <chartFormat chart="17" format="1" series="1">
      <pivotArea type="data" outline="0" fieldPosition="0">
        <references count="2">
          <reference field="4294967294" count="1" selected="0">
            <x v="0"/>
          </reference>
          <reference field="3" count="1" selected="0">
            <x v="1"/>
          </reference>
        </references>
      </pivotArea>
    </chartFormat>
    <chartFormat chart="30" format="2" series="1">
      <pivotArea type="data" outline="0" fieldPosition="0">
        <references count="2">
          <reference field="4294967294" count="1" selected="0">
            <x v="0"/>
          </reference>
          <reference field="3" count="1" selected="0">
            <x v="0"/>
          </reference>
        </references>
      </pivotArea>
    </chartFormat>
    <chartFormat chart="30" format="3" series="1">
      <pivotArea type="data" outline="0" fieldPosition="0">
        <references count="2">
          <reference field="4294967294" count="1" selected="0">
            <x v="0"/>
          </reference>
          <reference field="3" count="1" selected="0">
            <x v="1"/>
          </reference>
        </references>
      </pivotArea>
    </chartFormat>
    <chartFormat chart="31" format="4" series="1">
      <pivotArea type="data" outline="0" fieldPosition="0">
        <references count="2">
          <reference field="4294967294" count="1" selected="0">
            <x v="0"/>
          </reference>
          <reference field="3" count="1" selected="0">
            <x v="0"/>
          </reference>
        </references>
      </pivotArea>
    </chartFormat>
    <chartFormat chart="31" format="5" series="1">
      <pivotArea type="data" outline="0" fieldPosition="0">
        <references count="2">
          <reference field="4294967294" count="1" selected="0">
            <x v="0"/>
          </reference>
          <reference field="3" count="1" selected="0">
            <x v="1"/>
          </reference>
        </references>
      </pivotArea>
    </chartFormat>
    <chartFormat chart="32" format="4" series="1">
      <pivotArea type="data" outline="0" fieldPosition="0">
        <references count="2">
          <reference field="4294967294" count="1" selected="0">
            <x v="0"/>
          </reference>
          <reference field="3" count="1" selected="0">
            <x v="0"/>
          </reference>
        </references>
      </pivotArea>
    </chartFormat>
    <chartFormat chart="32" format="5" series="1">
      <pivotArea type="data" outline="0" fieldPosition="0">
        <references count="2">
          <reference field="4294967294" count="1" selected="0">
            <x v="0"/>
          </reference>
          <reference field="3" count="1" selected="0">
            <x v="1"/>
          </reference>
        </references>
      </pivotArea>
    </chartFormat>
    <chartFormat chart="32" format="6"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32" format="7">
      <pivotArea type="data" outline="0" fieldPosition="0">
        <references count="3">
          <reference field="4294967294" count="1" selected="0">
            <x v="0"/>
          </reference>
          <reference field="3" count="1" selected="0">
            <x v="1"/>
          </reference>
          <reference field="12" count="1" selected="0">
            <x v="2"/>
          </reference>
        </references>
      </pivotArea>
    </chartFormat>
    <chartFormat chart="32" format="8">
      <pivotArea type="data" outline="0" fieldPosition="0">
        <references count="3">
          <reference field="4294967294" count="1" selected="0">
            <x v="0"/>
          </reference>
          <reference field="3" count="1" selected="0">
            <x v="1"/>
          </reference>
          <reference field="12" count="1" selected="0">
            <x v="1"/>
          </reference>
        </references>
      </pivotArea>
    </chartFormat>
    <chartFormat chart="32" format="9">
      <pivotArea type="data" outline="0" fieldPosition="0">
        <references count="3">
          <reference field="4294967294" count="1" selected="0">
            <x v="0"/>
          </reference>
          <reference field="3" count="1" selected="0">
            <x v="0"/>
          </reference>
          <reference field="12" count="1" selected="0">
            <x v="2"/>
          </reference>
        </references>
      </pivotArea>
    </chartFormat>
    <chartFormat chart="32" format="10">
      <pivotArea type="data" outline="0" fieldPosition="0">
        <references count="3">
          <reference field="4294967294" count="1" selected="0">
            <x v="0"/>
          </reference>
          <reference field="3"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A3905CA-BA98-4F35-BE3F-8153E6CDDFDF}"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54:K171" firstHeaderRow="1" firstDataRow="1" firstDataCol="0"/>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x="0"/>
        <item x="1"/>
        <item x="2"/>
        <item t="default"/>
      </items>
    </pivotField>
    <pivotField showAll="0">
      <items count="3">
        <item x="1"/>
        <item x="0"/>
        <item t="default"/>
      </items>
    </pivotField>
    <pivotField showAll="0"/>
    <pivotField showAll="0"/>
    <pivotField numFmtId="165" showAll="0"/>
    <pivotField showAll="0"/>
    <pivotField showAll="0"/>
    <pivotField numFmtId="165" showAll="0"/>
    <pivotField showAll="0" defaultSubtotal="0"/>
    <pivotField showAll="0" defaultSubtotal="0"/>
    <pivotField showAll="0" defaultSubtotal="0">
      <items count="4">
        <item x="0"/>
        <item x="1"/>
        <item x="2"/>
        <item x="3"/>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D85B640-3577-41EF-B553-71096879BCF6}"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52:F153" firstHeaderRow="1" firstDataRow="1" firstDataCol="0" rowPageCount="1" colPageCount="1"/>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h="1" x="0"/>
        <item h="1" x="1"/>
        <item x="2"/>
        <item t="default"/>
      </items>
    </pivotField>
    <pivotField axis="axisPage" showAll="0">
      <items count="3">
        <item x="1"/>
        <item x="0"/>
        <item t="default"/>
      </items>
    </pivotField>
    <pivotField showAll="0"/>
    <pivotField showAll="0"/>
    <pivotField dataField="1" numFmtId="165" showAll="0"/>
    <pivotField showAll="0"/>
    <pivotField showAll="0"/>
    <pivotField numFmtId="165" showAll="0"/>
    <pivotField showAll="0" defaultSubtotal="0"/>
    <pivotField showAll="0" defaultSubtotal="0"/>
    <pivotField showAll="0" defaultSubtotal="0">
      <items count="4">
        <item x="0"/>
        <item x="1"/>
        <item x="2"/>
        <item x="3"/>
      </items>
    </pivotField>
  </pivotFields>
  <rowItems count="1">
    <i/>
  </rowItems>
  <colItems count="1">
    <i/>
  </colItems>
  <pageFields count="1">
    <pageField fld="3" item="0" hier="-1"/>
  </pageFields>
  <dataFields count="1">
    <dataField name="Sum of Amount" fld="6"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96279F5-89F2-45D5-A344-F44988501EC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134:L151" firstHeaderRow="1" firstDataRow="1" firstDataCol="0"/>
  <pivotFields count="13">
    <pivotField showAll="0"/>
    <pivotField numFmtId="164" showAll="0">
      <items count="5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t="default"/>
      </items>
    </pivotField>
    <pivotField showAll="0">
      <items count="4">
        <item x="0"/>
        <item x="1"/>
        <item x="2"/>
        <item t="default"/>
      </items>
    </pivotField>
    <pivotField showAll="0">
      <items count="3">
        <item x="1"/>
        <item x="0"/>
        <item t="default"/>
      </items>
    </pivotField>
    <pivotField showAll="0"/>
    <pivotField showAll="0"/>
    <pivotField numFmtId="165" showAll="0"/>
    <pivotField showAll="0"/>
    <pivotField showAll="0"/>
    <pivotField numFmtId="165" showAll="0"/>
    <pivotField showAll="0" defaultSubtotal="0"/>
    <pivotField showAll="0" defaultSubtotal="0"/>
    <pivotField showAll="0" defaultSubtotal="0">
      <items count="4">
        <item x="0"/>
        <item x="1"/>
        <item x="2"/>
        <item x="3"/>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 xr10:uid="{5628B625-B42D-45A3-91C4-D691E4B0D2E3}" sourceName="Account">
  <pivotTables>
    <pivotTable tabId="3" name="PivotTable7"/>
    <pivotTable tabId="3" name="PivotTable1"/>
    <pivotTable tabId="3" name="PivotTable11"/>
    <pivotTable tabId="3" name="PivotTable12"/>
    <pivotTable tabId="3" name="PivotTable2"/>
    <pivotTable tabId="3" name="PivotTable3"/>
    <pivotTable tabId="3" name="PivotTable4"/>
    <pivotTable tabId="3" name="PivotTable5"/>
    <pivotTable tabId="3" name="PivotTable6"/>
    <pivotTable tabId="3" name="PivotTable8"/>
    <pivotTable tabId="3" name="PivotTable9"/>
  </pivotTables>
  <data>
    <tabular pivotCacheId="2126431073">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A943E842-9513-482F-87E7-1BA14D158268}" sourceName="Type">
  <pivotTables>
    <pivotTable tabId="3" name="PivotTable8"/>
    <pivotTable tabId="3" name="PivotTable1"/>
    <pivotTable tabId="3" name="PivotTable12"/>
    <pivotTable tabId="3" name="PivotTable2"/>
    <pivotTable tabId="3" name="PivotTable5"/>
    <pivotTable tabId="3" name="PivotTable9"/>
    <pivotTable tabId="3" name="PivotTable11"/>
    <pivotTable tabId="3" name="PivotTable6"/>
    <pivotTable tabId="3" name="PivotTable7"/>
  </pivotTables>
  <data>
    <tabular pivotCacheId="212643107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xr10:uid="{E6C626EC-A3CB-4622-8FD7-CFC37A64B51E}" cache="Slicer_Account" caption="Account" rowHeight="247650"/>
  <slicer name="Type" xr10:uid="{E6868EB5-97B7-4963-8062-2F75164F0975}" cache="Slicer_Type" caption="Type"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1" xr10:uid="{02271EB2-FB9D-4177-94D0-148E3B75F7C4}" cache="Slicer_Account" caption="Account" style="SlicerStyleDark1" rowHeight="247650"/>
  <slicer name="Type 1" xr10:uid="{0F05A8DD-BFA0-47B0-8600-8052CD761778}" cache="Slicer_Type" caption="Type" style="SlicerStyleDark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BA495-646D-4912-9548-747268CBA359}">
  <sheetPr codeName="Sheet3"/>
  <dimension ref="A1:J1001"/>
  <sheetViews>
    <sheetView workbookViewId="0">
      <pane ySplit="1" topLeftCell="A2" activePane="bottomLeft" state="frozen"/>
      <selection pane="bottomLeft" activeCell="I996" sqref="I996"/>
    </sheetView>
  </sheetViews>
  <sheetFormatPr defaultRowHeight="14.4" x14ac:dyDescent="0.3"/>
  <cols>
    <col min="1" max="1" width="17.21875" bestFit="1" customWidth="1"/>
    <col min="2" max="2" width="10.33203125" bestFit="1" customWidth="1"/>
    <col min="3" max="3" width="12.21875" bestFit="1" customWidth="1"/>
    <col min="4" max="4" width="9.33203125" bestFit="1" customWidth="1"/>
    <col min="5" max="5" width="12.77734375" bestFit="1" customWidth="1"/>
    <col min="6" max="6" width="24.44140625" bestFit="1" customWidth="1"/>
    <col min="7" max="7" width="11.88671875" bestFit="1" customWidth="1"/>
    <col min="8" max="8" width="19.44140625" bestFit="1" customWidth="1"/>
    <col min="9" max="9" width="15.109375" bestFit="1" customWidth="1"/>
    <col min="10" max="10" width="19.109375" bestFit="1" customWidth="1"/>
  </cols>
  <sheetData>
    <row r="1" spans="1:10" x14ac:dyDescent="0.3">
      <c r="A1" s="2" t="s">
        <v>0</v>
      </c>
      <c r="B1" s="2" t="s">
        <v>1</v>
      </c>
      <c r="C1" s="2" t="s">
        <v>2</v>
      </c>
      <c r="D1" s="2" t="s">
        <v>3</v>
      </c>
      <c r="E1" s="2" t="s">
        <v>4</v>
      </c>
      <c r="F1" s="2" t="s">
        <v>5</v>
      </c>
      <c r="G1" s="2" t="s">
        <v>6</v>
      </c>
      <c r="H1" s="2" t="s">
        <v>7</v>
      </c>
      <c r="I1" s="2" t="s">
        <v>8</v>
      </c>
      <c r="J1" s="2" t="s">
        <v>9</v>
      </c>
    </row>
    <row r="2" spans="1:10" x14ac:dyDescent="0.3">
      <c r="A2" s="3" t="s">
        <v>10</v>
      </c>
      <c r="B2" s="4">
        <v>45292</v>
      </c>
      <c r="C2" s="3" t="s">
        <v>11</v>
      </c>
      <c r="D2" s="3" t="s">
        <v>12</v>
      </c>
      <c r="E2" s="3" t="s">
        <v>13</v>
      </c>
      <c r="F2" s="3" t="s">
        <v>14</v>
      </c>
      <c r="G2" s="5">
        <v>4039.07</v>
      </c>
      <c r="H2" s="3" t="s">
        <v>15</v>
      </c>
      <c r="I2" s="3" t="s">
        <v>16</v>
      </c>
      <c r="J2" s="5">
        <v>9039.07</v>
      </c>
    </row>
    <row r="3" spans="1:10" x14ac:dyDescent="0.3">
      <c r="A3" s="3" t="s">
        <v>17</v>
      </c>
      <c r="B3" s="4">
        <v>45292</v>
      </c>
      <c r="C3" s="3" t="s">
        <v>11</v>
      </c>
      <c r="D3" s="3" t="s">
        <v>18</v>
      </c>
      <c r="E3" s="3" t="s">
        <v>19</v>
      </c>
      <c r="F3" s="3" t="s">
        <v>20</v>
      </c>
      <c r="G3" s="5">
        <v>1908.59</v>
      </c>
      <c r="H3" s="3" t="s">
        <v>21</v>
      </c>
      <c r="I3" s="3" t="s">
        <v>16</v>
      </c>
      <c r="J3" s="5">
        <v>7130.48</v>
      </c>
    </row>
    <row r="4" spans="1:10" x14ac:dyDescent="0.3">
      <c r="A4" s="3" t="s">
        <v>22</v>
      </c>
      <c r="B4" s="4">
        <v>45292</v>
      </c>
      <c r="C4" s="3" t="s">
        <v>11</v>
      </c>
      <c r="D4" s="3" t="s">
        <v>18</v>
      </c>
      <c r="E4" s="3" t="s">
        <v>23</v>
      </c>
      <c r="F4" s="3" t="s">
        <v>24</v>
      </c>
      <c r="G4" s="5">
        <v>16.43</v>
      </c>
      <c r="H4" s="3" t="s">
        <v>25</v>
      </c>
      <c r="I4" s="3" t="s">
        <v>26</v>
      </c>
      <c r="J4" s="5">
        <v>7114.05</v>
      </c>
    </row>
    <row r="5" spans="1:10" x14ac:dyDescent="0.3">
      <c r="A5" s="3" t="s">
        <v>27</v>
      </c>
      <c r="B5" s="4">
        <v>45293</v>
      </c>
      <c r="C5" s="3" t="s">
        <v>11</v>
      </c>
      <c r="D5" s="3" t="s">
        <v>18</v>
      </c>
      <c r="E5" s="3" t="s">
        <v>28</v>
      </c>
      <c r="F5" s="3" t="s">
        <v>29</v>
      </c>
      <c r="G5" s="5">
        <v>176.78</v>
      </c>
      <c r="H5" s="3" t="s">
        <v>30</v>
      </c>
      <c r="I5" s="3" t="s">
        <v>26</v>
      </c>
      <c r="J5" s="5">
        <v>6937.27</v>
      </c>
    </row>
    <row r="6" spans="1:10" x14ac:dyDescent="0.3">
      <c r="A6" s="3" t="s">
        <v>31</v>
      </c>
      <c r="B6" s="4">
        <v>45294</v>
      </c>
      <c r="C6" s="3" t="s">
        <v>11</v>
      </c>
      <c r="D6" s="3" t="s">
        <v>18</v>
      </c>
      <c r="E6" s="3" t="s">
        <v>23</v>
      </c>
      <c r="F6" s="3" t="s">
        <v>32</v>
      </c>
      <c r="G6" s="5">
        <v>35.99</v>
      </c>
      <c r="H6" s="3" t="s">
        <v>30</v>
      </c>
      <c r="I6" s="3" t="s">
        <v>26</v>
      </c>
      <c r="J6" s="5">
        <v>6901.28</v>
      </c>
    </row>
    <row r="7" spans="1:10" x14ac:dyDescent="0.3">
      <c r="A7" s="3" t="s">
        <v>33</v>
      </c>
      <c r="B7" s="4">
        <v>45295</v>
      </c>
      <c r="C7" s="3" t="s">
        <v>11</v>
      </c>
      <c r="D7" s="3" t="s">
        <v>18</v>
      </c>
      <c r="E7" s="3" t="s">
        <v>28</v>
      </c>
      <c r="F7" s="3" t="s">
        <v>29</v>
      </c>
      <c r="G7" s="5">
        <v>16.920000000000002</v>
      </c>
      <c r="H7" s="3" t="s">
        <v>34</v>
      </c>
      <c r="I7" s="3" t="s">
        <v>26</v>
      </c>
      <c r="J7" s="5">
        <v>6884.36</v>
      </c>
    </row>
    <row r="8" spans="1:10" x14ac:dyDescent="0.3">
      <c r="A8" s="3" t="s">
        <v>35</v>
      </c>
      <c r="B8" s="4">
        <v>45295</v>
      </c>
      <c r="C8" s="3" t="s">
        <v>36</v>
      </c>
      <c r="D8" s="3" t="s">
        <v>18</v>
      </c>
      <c r="E8" s="3" t="s">
        <v>23</v>
      </c>
      <c r="F8" s="3" t="s">
        <v>37</v>
      </c>
      <c r="G8" s="5">
        <v>58.45</v>
      </c>
      <c r="H8" s="3" t="s">
        <v>30</v>
      </c>
      <c r="I8" s="3" t="s">
        <v>26</v>
      </c>
      <c r="J8" s="5">
        <v>6825.91</v>
      </c>
    </row>
    <row r="9" spans="1:10" x14ac:dyDescent="0.3">
      <c r="A9" s="3" t="s">
        <v>38</v>
      </c>
      <c r="B9" s="4">
        <v>45295</v>
      </c>
      <c r="C9" s="3" t="s">
        <v>36</v>
      </c>
      <c r="D9" s="3" t="s">
        <v>18</v>
      </c>
      <c r="E9" s="3" t="s">
        <v>39</v>
      </c>
      <c r="F9" s="3" t="s">
        <v>40</v>
      </c>
      <c r="G9" s="5">
        <v>64.040000000000006</v>
      </c>
      <c r="H9" s="3" t="s">
        <v>34</v>
      </c>
      <c r="I9" s="3" t="s">
        <v>26</v>
      </c>
      <c r="J9" s="5">
        <v>6761.87</v>
      </c>
    </row>
    <row r="10" spans="1:10" x14ac:dyDescent="0.3">
      <c r="A10" s="3" t="s">
        <v>41</v>
      </c>
      <c r="B10" s="4">
        <v>45297</v>
      </c>
      <c r="C10" s="3" t="s">
        <v>36</v>
      </c>
      <c r="D10" s="3" t="s">
        <v>18</v>
      </c>
      <c r="E10" s="3" t="s">
        <v>23</v>
      </c>
      <c r="F10" s="3" t="s">
        <v>37</v>
      </c>
      <c r="G10" s="5">
        <v>65.92</v>
      </c>
      <c r="H10" s="3" t="s">
        <v>30</v>
      </c>
      <c r="I10" s="3" t="s">
        <v>26</v>
      </c>
      <c r="J10" s="5">
        <v>6695.95</v>
      </c>
    </row>
    <row r="11" spans="1:10" x14ac:dyDescent="0.3">
      <c r="A11" s="3" t="s">
        <v>42</v>
      </c>
      <c r="B11" s="4">
        <v>45298</v>
      </c>
      <c r="C11" s="3" t="s">
        <v>11</v>
      </c>
      <c r="D11" s="3" t="s">
        <v>18</v>
      </c>
      <c r="E11" s="3" t="s">
        <v>43</v>
      </c>
      <c r="F11" s="3" t="s">
        <v>44</v>
      </c>
      <c r="G11" s="5">
        <v>134.22999999999999</v>
      </c>
      <c r="H11" s="3" t="s">
        <v>21</v>
      </c>
      <c r="I11" s="3" t="s">
        <v>16</v>
      </c>
      <c r="J11" s="5">
        <v>6561.72</v>
      </c>
    </row>
    <row r="12" spans="1:10" x14ac:dyDescent="0.3">
      <c r="A12" s="3" t="s">
        <v>45</v>
      </c>
      <c r="B12" s="4">
        <v>45298</v>
      </c>
      <c r="C12" s="3" t="s">
        <v>36</v>
      </c>
      <c r="D12" s="3" t="s">
        <v>18</v>
      </c>
      <c r="E12" s="3" t="s">
        <v>23</v>
      </c>
      <c r="F12" s="3" t="s">
        <v>32</v>
      </c>
      <c r="G12" s="5">
        <v>83.07</v>
      </c>
      <c r="H12" s="3" t="s">
        <v>25</v>
      </c>
      <c r="I12" s="3" t="s">
        <v>26</v>
      </c>
      <c r="J12" s="5">
        <v>6478.65</v>
      </c>
    </row>
    <row r="13" spans="1:10" x14ac:dyDescent="0.3">
      <c r="A13" s="3" t="s">
        <v>46</v>
      </c>
      <c r="B13" s="4">
        <v>45298</v>
      </c>
      <c r="C13" s="3" t="s">
        <v>36</v>
      </c>
      <c r="D13" s="3" t="s">
        <v>18</v>
      </c>
      <c r="E13" s="3" t="s">
        <v>47</v>
      </c>
      <c r="F13" s="3" t="s">
        <v>48</v>
      </c>
      <c r="G13" s="5">
        <v>40.6</v>
      </c>
      <c r="H13" s="3" t="s">
        <v>34</v>
      </c>
      <c r="I13" s="3" t="s">
        <v>26</v>
      </c>
      <c r="J13" s="5">
        <v>6438.05</v>
      </c>
    </row>
    <row r="14" spans="1:10" x14ac:dyDescent="0.3">
      <c r="A14" s="3" t="s">
        <v>49</v>
      </c>
      <c r="B14" s="4">
        <v>45299</v>
      </c>
      <c r="C14" s="3" t="s">
        <v>36</v>
      </c>
      <c r="D14" s="3" t="s">
        <v>18</v>
      </c>
      <c r="E14" s="3" t="s">
        <v>43</v>
      </c>
      <c r="F14" s="3" t="s">
        <v>50</v>
      </c>
      <c r="G14" s="5">
        <v>177.29</v>
      </c>
      <c r="H14" s="3" t="s">
        <v>21</v>
      </c>
      <c r="I14" s="3" t="s">
        <v>16</v>
      </c>
      <c r="J14" s="5">
        <v>6260.76</v>
      </c>
    </row>
    <row r="15" spans="1:10" x14ac:dyDescent="0.3">
      <c r="A15" s="3" t="s">
        <v>51</v>
      </c>
      <c r="B15" s="4">
        <v>45299</v>
      </c>
      <c r="C15" s="3" t="s">
        <v>36</v>
      </c>
      <c r="D15" s="3" t="s">
        <v>18</v>
      </c>
      <c r="E15" s="3" t="s">
        <v>28</v>
      </c>
      <c r="F15" s="3" t="s">
        <v>52</v>
      </c>
      <c r="G15" s="5">
        <v>175.53</v>
      </c>
      <c r="H15" s="3" t="s">
        <v>30</v>
      </c>
      <c r="I15" s="3" t="s">
        <v>26</v>
      </c>
      <c r="J15" s="5">
        <v>6085.23</v>
      </c>
    </row>
    <row r="16" spans="1:10" x14ac:dyDescent="0.3">
      <c r="A16" s="3" t="s">
        <v>53</v>
      </c>
      <c r="B16" s="4">
        <v>45301</v>
      </c>
      <c r="C16" s="3" t="s">
        <v>11</v>
      </c>
      <c r="D16" s="3" t="s">
        <v>18</v>
      </c>
      <c r="E16" s="3" t="s">
        <v>23</v>
      </c>
      <c r="F16" s="3" t="s">
        <v>54</v>
      </c>
      <c r="G16" s="5">
        <v>84.46</v>
      </c>
      <c r="H16" s="3" t="s">
        <v>25</v>
      </c>
      <c r="I16" s="3" t="s">
        <v>26</v>
      </c>
      <c r="J16" s="5">
        <v>6000.77</v>
      </c>
    </row>
    <row r="17" spans="1:10" x14ac:dyDescent="0.3">
      <c r="A17" s="3" t="s">
        <v>55</v>
      </c>
      <c r="B17" s="4">
        <v>45301</v>
      </c>
      <c r="C17" s="3" t="s">
        <v>11</v>
      </c>
      <c r="D17" s="3" t="s">
        <v>18</v>
      </c>
      <c r="E17" s="3" t="s">
        <v>47</v>
      </c>
      <c r="F17" s="3" t="s">
        <v>56</v>
      </c>
      <c r="G17" s="5">
        <v>58.59</v>
      </c>
      <c r="H17" s="3" t="s">
        <v>34</v>
      </c>
      <c r="I17" s="3" t="s">
        <v>26</v>
      </c>
      <c r="J17" s="5">
        <v>5942.18</v>
      </c>
    </row>
    <row r="18" spans="1:10" x14ac:dyDescent="0.3">
      <c r="A18" s="3" t="s">
        <v>57</v>
      </c>
      <c r="B18" s="4">
        <v>45302</v>
      </c>
      <c r="C18" s="3" t="s">
        <v>36</v>
      </c>
      <c r="D18" s="3" t="s">
        <v>18</v>
      </c>
      <c r="E18" s="3" t="s">
        <v>28</v>
      </c>
      <c r="F18" s="3" t="s">
        <v>58</v>
      </c>
      <c r="G18" s="5">
        <v>178.74</v>
      </c>
      <c r="H18" s="3" t="s">
        <v>34</v>
      </c>
      <c r="I18" s="3" t="s">
        <v>26</v>
      </c>
      <c r="J18" s="5">
        <v>5763.44</v>
      </c>
    </row>
    <row r="19" spans="1:10" x14ac:dyDescent="0.3">
      <c r="A19" s="3" t="s">
        <v>59</v>
      </c>
      <c r="B19" s="4">
        <v>45302</v>
      </c>
      <c r="C19" s="3" t="s">
        <v>11</v>
      </c>
      <c r="D19" s="3" t="s">
        <v>18</v>
      </c>
      <c r="E19" s="3" t="s">
        <v>47</v>
      </c>
      <c r="F19" s="3" t="s">
        <v>60</v>
      </c>
      <c r="G19" s="5">
        <v>45.57</v>
      </c>
      <c r="H19" s="3" t="s">
        <v>25</v>
      </c>
      <c r="I19" s="3" t="s">
        <v>26</v>
      </c>
      <c r="J19" s="5">
        <v>5717.87</v>
      </c>
    </row>
    <row r="20" spans="1:10" x14ac:dyDescent="0.3">
      <c r="A20" s="3" t="s">
        <v>61</v>
      </c>
      <c r="B20" s="4">
        <v>45303</v>
      </c>
      <c r="C20" s="3" t="s">
        <v>36</v>
      </c>
      <c r="D20" s="3" t="s">
        <v>18</v>
      </c>
      <c r="E20" s="3" t="s">
        <v>47</v>
      </c>
      <c r="F20" s="3" t="s">
        <v>48</v>
      </c>
      <c r="G20" s="5">
        <v>36.92</v>
      </c>
      <c r="H20" s="3" t="s">
        <v>34</v>
      </c>
      <c r="I20" s="3" t="s">
        <v>26</v>
      </c>
      <c r="J20" s="5">
        <v>5680.95</v>
      </c>
    </row>
    <row r="21" spans="1:10" x14ac:dyDescent="0.3">
      <c r="A21" s="3" t="s">
        <v>62</v>
      </c>
      <c r="B21" s="4">
        <v>45304</v>
      </c>
      <c r="C21" s="3" t="s">
        <v>36</v>
      </c>
      <c r="D21" s="3" t="s">
        <v>18</v>
      </c>
      <c r="E21" s="3" t="s">
        <v>23</v>
      </c>
      <c r="F21" s="3" t="s">
        <v>37</v>
      </c>
      <c r="G21" s="5">
        <v>18.190000000000001</v>
      </c>
      <c r="H21" s="3" t="s">
        <v>25</v>
      </c>
      <c r="I21" s="3" t="s">
        <v>26</v>
      </c>
      <c r="J21" s="5">
        <v>5662.76</v>
      </c>
    </row>
    <row r="22" spans="1:10" x14ac:dyDescent="0.3">
      <c r="A22" s="3" t="s">
        <v>63</v>
      </c>
      <c r="B22" s="4">
        <v>45305</v>
      </c>
      <c r="C22" s="3" t="s">
        <v>11</v>
      </c>
      <c r="D22" s="3" t="s">
        <v>18</v>
      </c>
      <c r="E22" s="3" t="s">
        <v>39</v>
      </c>
      <c r="F22" s="3" t="s">
        <v>64</v>
      </c>
      <c r="G22" s="5">
        <v>29.12</v>
      </c>
      <c r="H22" s="3" t="s">
        <v>34</v>
      </c>
      <c r="I22" s="3" t="s">
        <v>26</v>
      </c>
      <c r="J22" s="5">
        <v>5633.64</v>
      </c>
    </row>
    <row r="23" spans="1:10" x14ac:dyDescent="0.3">
      <c r="A23" s="3" t="s">
        <v>65</v>
      </c>
      <c r="B23" s="4">
        <v>45306</v>
      </c>
      <c r="C23" s="3" t="s">
        <v>11</v>
      </c>
      <c r="D23" s="3" t="s">
        <v>12</v>
      </c>
      <c r="E23" s="3" t="s">
        <v>13</v>
      </c>
      <c r="F23" s="3" t="s">
        <v>14</v>
      </c>
      <c r="G23" s="5">
        <v>4854.8999999999996</v>
      </c>
      <c r="H23" s="3" t="s">
        <v>15</v>
      </c>
      <c r="I23" s="3" t="s">
        <v>16</v>
      </c>
      <c r="J23" s="5">
        <v>10488.54</v>
      </c>
    </row>
    <row r="24" spans="1:10" x14ac:dyDescent="0.3">
      <c r="A24" s="3" t="s">
        <v>66</v>
      </c>
      <c r="B24" s="4">
        <v>45306</v>
      </c>
      <c r="C24" s="3" t="s">
        <v>11</v>
      </c>
      <c r="D24" s="3" t="s">
        <v>18</v>
      </c>
      <c r="E24" s="3" t="s">
        <v>23</v>
      </c>
      <c r="F24" s="3" t="s">
        <v>32</v>
      </c>
      <c r="G24" s="5">
        <v>33.94</v>
      </c>
      <c r="H24" s="3" t="s">
        <v>30</v>
      </c>
      <c r="I24" s="3" t="s">
        <v>26</v>
      </c>
      <c r="J24" s="5">
        <v>10454.6</v>
      </c>
    </row>
    <row r="25" spans="1:10" x14ac:dyDescent="0.3">
      <c r="A25" s="3" t="s">
        <v>67</v>
      </c>
      <c r="B25" s="4">
        <v>45307</v>
      </c>
      <c r="C25" s="3" t="s">
        <v>11</v>
      </c>
      <c r="D25" s="3" t="s">
        <v>18</v>
      </c>
      <c r="E25" s="3" t="s">
        <v>28</v>
      </c>
      <c r="F25" s="3" t="s">
        <v>29</v>
      </c>
      <c r="G25" s="5">
        <v>179.51</v>
      </c>
      <c r="H25" s="3" t="s">
        <v>30</v>
      </c>
      <c r="I25" s="3" t="s">
        <v>26</v>
      </c>
      <c r="J25" s="5">
        <v>10275.09</v>
      </c>
    </row>
    <row r="26" spans="1:10" x14ac:dyDescent="0.3">
      <c r="A26" s="3" t="s">
        <v>68</v>
      </c>
      <c r="B26" s="4">
        <v>45307</v>
      </c>
      <c r="C26" s="3" t="s">
        <v>11</v>
      </c>
      <c r="D26" s="3" t="s">
        <v>18</v>
      </c>
      <c r="E26" s="3" t="s">
        <v>47</v>
      </c>
      <c r="F26" s="3" t="s">
        <v>69</v>
      </c>
      <c r="G26" s="5">
        <v>11.88</v>
      </c>
      <c r="H26" s="3" t="s">
        <v>34</v>
      </c>
      <c r="I26" s="3" t="s">
        <v>26</v>
      </c>
      <c r="J26" s="5">
        <v>10263.209999999999</v>
      </c>
    </row>
    <row r="27" spans="1:10" x14ac:dyDescent="0.3">
      <c r="A27" s="3" t="s">
        <v>70</v>
      </c>
      <c r="B27" s="4">
        <v>45308</v>
      </c>
      <c r="C27" s="3" t="s">
        <v>36</v>
      </c>
      <c r="D27" s="3" t="s">
        <v>18</v>
      </c>
      <c r="E27" s="3" t="s">
        <v>23</v>
      </c>
      <c r="F27" s="3" t="s">
        <v>37</v>
      </c>
      <c r="G27" s="5">
        <v>80.02</v>
      </c>
      <c r="H27" s="3" t="s">
        <v>25</v>
      </c>
      <c r="I27" s="3" t="s">
        <v>26</v>
      </c>
      <c r="J27" s="5">
        <v>10183.19</v>
      </c>
    </row>
    <row r="28" spans="1:10" x14ac:dyDescent="0.3">
      <c r="A28" s="3" t="s">
        <v>71</v>
      </c>
      <c r="B28" s="4">
        <v>45310</v>
      </c>
      <c r="C28" s="3" t="s">
        <v>11</v>
      </c>
      <c r="D28" s="3" t="s">
        <v>18</v>
      </c>
      <c r="E28" s="3" t="s">
        <v>47</v>
      </c>
      <c r="F28" s="3" t="s">
        <v>60</v>
      </c>
      <c r="G28" s="5">
        <v>51.15</v>
      </c>
      <c r="H28" s="3" t="s">
        <v>30</v>
      </c>
      <c r="I28" s="3" t="s">
        <v>26</v>
      </c>
      <c r="J28" s="5">
        <v>10132.040000000001</v>
      </c>
    </row>
    <row r="29" spans="1:10" x14ac:dyDescent="0.3">
      <c r="A29" s="3" t="s">
        <v>72</v>
      </c>
      <c r="B29" s="4">
        <v>45311</v>
      </c>
      <c r="C29" s="3" t="s">
        <v>11</v>
      </c>
      <c r="D29" s="3" t="s">
        <v>18</v>
      </c>
      <c r="E29" s="3" t="s">
        <v>47</v>
      </c>
      <c r="F29" s="3" t="s">
        <v>56</v>
      </c>
      <c r="G29" s="5">
        <v>34.47</v>
      </c>
      <c r="H29" s="3" t="s">
        <v>34</v>
      </c>
      <c r="I29" s="3" t="s">
        <v>26</v>
      </c>
      <c r="J29" s="5">
        <v>10097.57</v>
      </c>
    </row>
    <row r="30" spans="1:10" x14ac:dyDescent="0.3">
      <c r="A30" s="3" t="s">
        <v>73</v>
      </c>
      <c r="B30" s="4">
        <v>45312</v>
      </c>
      <c r="C30" s="3" t="s">
        <v>36</v>
      </c>
      <c r="D30" s="3" t="s">
        <v>18</v>
      </c>
      <c r="E30" s="3" t="s">
        <v>28</v>
      </c>
      <c r="F30" s="3" t="s">
        <v>74</v>
      </c>
      <c r="G30" s="5">
        <v>108.4</v>
      </c>
      <c r="H30" s="3" t="s">
        <v>30</v>
      </c>
      <c r="I30" s="3" t="s">
        <v>26</v>
      </c>
      <c r="J30" s="5">
        <v>9989.17</v>
      </c>
    </row>
    <row r="31" spans="1:10" x14ac:dyDescent="0.3">
      <c r="A31" s="3" t="s">
        <v>75</v>
      </c>
      <c r="B31" s="4">
        <v>45314</v>
      </c>
      <c r="C31" s="3" t="s">
        <v>36</v>
      </c>
      <c r="D31" s="3" t="s">
        <v>18</v>
      </c>
      <c r="E31" s="3" t="s">
        <v>23</v>
      </c>
      <c r="F31" s="3" t="s">
        <v>76</v>
      </c>
      <c r="G31" s="5">
        <v>68.97</v>
      </c>
      <c r="H31" s="3" t="s">
        <v>30</v>
      </c>
      <c r="I31" s="3" t="s">
        <v>26</v>
      </c>
      <c r="J31" s="5">
        <v>9920.2000000000007</v>
      </c>
    </row>
    <row r="32" spans="1:10" x14ac:dyDescent="0.3">
      <c r="A32" s="3" t="s">
        <v>77</v>
      </c>
      <c r="B32" s="4">
        <v>45314</v>
      </c>
      <c r="C32" s="3" t="s">
        <v>11</v>
      </c>
      <c r="D32" s="3" t="s">
        <v>18</v>
      </c>
      <c r="E32" s="3" t="s">
        <v>39</v>
      </c>
      <c r="F32" s="3" t="s">
        <v>64</v>
      </c>
      <c r="G32" s="5">
        <v>57.1</v>
      </c>
      <c r="H32" s="3" t="s">
        <v>34</v>
      </c>
      <c r="I32" s="3" t="s">
        <v>26</v>
      </c>
      <c r="J32" s="5">
        <v>9863.1</v>
      </c>
    </row>
    <row r="33" spans="1:10" x14ac:dyDescent="0.3">
      <c r="A33" s="3" t="s">
        <v>78</v>
      </c>
      <c r="B33" s="4">
        <v>45315</v>
      </c>
      <c r="C33" s="3" t="s">
        <v>11</v>
      </c>
      <c r="D33" s="3" t="s">
        <v>18</v>
      </c>
      <c r="E33" s="3" t="s">
        <v>28</v>
      </c>
      <c r="F33" s="3" t="s">
        <v>79</v>
      </c>
      <c r="G33" s="5">
        <v>33.840000000000003</v>
      </c>
      <c r="H33" s="3" t="s">
        <v>34</v>
      </c>
      <c r="I33" s="3" t="s">
        <v>26</v>
      </c>
      <c r="J33" s="5">
        <v>9829.26</v>
      </c>
    </row>
    <row r="34" spans="1:10" x14ac:dyDescent="0.3">
      <c r="A34" s="3" t="s">
        <v>80</v>
      </c>
      <c r="B34" s="4">
        <v>45316</v>
      </c>
      <c r="C34" s="3" t="s">
        <v>11</v>
      </c>
      <c r="D34" s="3" t="s">
        <v>18</v>
      </c>
      <c r="E34" s="3" t="s">
        <v>23</v>
      </c>
      <c r="F34" s="3" t="s">
        <v>76</v>
      </c>
      <c r="G34" s="5">
        <v>9.59</v>
      </c>
      <c r="H34" s="3" t="s">
        <v>34</v>
      </c>
      <c r="I34" s="3" t="s">
        <v>26</v>
      </c>
      <c r="J34" s="5">
        <v>9819.67</v>
      </c>
    </row>
    <row r="35" spans="1:10" x14ac:dyDescent="0.3">
      <c r="A35" s="3" t="s">
        <v>81</v>
      </c>
      <c r="B35" s="4">
        <v>45316</v>
      </c>
      <c r="C35" s="3" t="s">
        <v>36</v>
      </c>
      <c r="D35" s="3" t="s">
        <v>18</v>
      </c>
      <c r="E35" s="3" t="s">
        <v>47</v>
      </c>
      <c r="F35" s="3" t="s">
        <v>82</v>
      </c>
      <c r="G35" s="5">
        <v>22.64</v>
      </c>
      <c r="H35" s="3" t="s">
        <v>34</v>
      </c>
      <c r="I35" s="3" t="s">
        <v>26</v>
      </c>
      <c r="J35" s="5">
        <v>9797.0300000000007</v>
      </c>
    </row>
    <row r="36" spans="1:10" x14ac:dyDescent="0.3">
      <c r="A36" s="3" t="s">
        <v>83</v>
      </c>
      <c r="B36" s="4">
        <v>45317</v>
      </c>
      <c r="C36" s="3" t="s">
        <v>36</v>
      </c>
      <c r="D36" s="3" t="s">
        <v>18</v>
      </c>
      <c r="E36" s="3" t="s">
        <v>28</v>
      </c>
      <c r="F36" s="3" t="s">
        <v>58</v>
      </c>
      <c r="G36" s="5">
        <v>151</v>
      </c>
      <c r="H36" s="3" t="s">
        <v>30</v>
      </c>
      <c r="I36" s="3" t="s">
        <v>26</v>
      </c>
      <c r="J36" s="5">
        <v>9646.0300000000007</v>
      </c>
    </row>
    <row r="37" spans="1:10" x14ac:dyDescent="0.3">
      <c r="A37" s="3" t="s">
        <v>84</v>
      </c>
      <c r="B37" s="4">
        <v>45317</v>
      </c>
      <c r="C37" s="3" t="s">
        <v>11</v>
      </c>
      <c r="D37" s="3" t="s">
        <v>18</v>
      </c>
      <c r="E37" s="3" t="s">
        <v>23</v>
      </c>
      <c r="F37" s="3" t="s">
        <v>37</v>
      </c>
      <c r="G37" s="5">
        <v>66.37</v>
      </c>
      <c r="H37" s="3" t="s">
        <v>25</v>
      </c>
      <c r="I37" s="3" t="s">
        <v>26</v>
      </c>
      <c r="J37" s="5">
        <v>9579.66</v>
      </c>
    </row>
    <row r="38" spans="1:10" x14ac:dyDescent="0.3">
      <c r="A38" s="3" t="s">
        <v>85</v>
      </c>
      <c r="B38" s="4">
        <v>45318</v>
      </c>
      <c r="C38" s="3" t="s">
        <v>11</v>
      </c>
      <c r="D38" s="3" t="s">
        <v>18</v>
      </c>
      <c r="E38" s="3" t="s">
        <v>47</v>
      </c>
      <c r="F38" s="3" t="s">
        <v>82</v>
      </c>
      <c r="G38" s="5">
        <v>45.25</v>
      </c>
      <c r="H38" s="3" t="s">
        <v>30</v>
      </c>
      <c r="I38" s="3" t="s">
        <v>26</v>
      </c>
      <c r="J38" s="5">
        <v>9534.41</v>
      </c>
    </row>
    <row r="39" spans="1:10" x14ac:dyDescent="0.3">
      <c r="A39" s="3" t="s">
        <v>86</v>
      </c>
      <c r="B39" s="4">
        <v>45319</v>
      </c>
      <c r="C39" s="3" t="s">
        <v>36</v>
      </c>
      <c r="D39" s="3" t="s">
        <v>18</v>
      </c>
      <c r="E39" s="3" t="s">
        <v>23</v>
      </c>
      <c r="F39" s="3" t="s">
        <v>87</v>
      </c>
      <c r="G39" s="5">
        <v>85</v>
      </c>
      <c r="H39" s="3" t="s">
        <v>34</v>
      </c>
      <c r="I39" s="3" t="s">
        <v>26</v>
      </c>
      <c r="J39" s="5">
        <v>9449.41</v>
      </c>
    </row>
    <row r="40" spans="1:10" x14ac:dyDescent="0.3">
      <c r="A40" s="3" t="s">
        <v>88</v>
      </c>
      <c r="B40" s="4">
        <v>45319</v>
      </c>
      <c r="C40" s="3" t="s">
        <v>36</v>
      </c>
      <c r="D40" s="3" t="s">
        <v>18</v>
      </c>
      <c r="E40" s="3" t="s">
        <v>39</v>
      </c>
      <c r="F40" s="3" t="s">
        <v>89</v>
      </c>
      <c r="G40" s="5">
        <v>40.729999999999997</v>
      </c>
      <c r="H40" s="3" t="s">
        <v>30</v>
      </c>
      <c r="I40" s="3" t="s">
        <v>26</v>
      </c>
      <c r="J40" s="5">
        <v>9408.68</v>
      </c>
    </row>
    <row r="41" spans="1:10" x14ac:dyDescent="0.3">
      <c r="A41" s="3" t="s">
        <v>90</v>
      </c>
      <c r="B41" s="4">
        <v>45320</v>
      </c>
      <c r="C41" s="3" t="s">
        <v>36</v>
      </c>
      <c r="D41" s="3" t="s">
        <v>18</v>
      </c>
      <c r="E41" s="3" t="s">
        <v>47</v>
      </c>
      <c r="F41" s="3" t="s">
        <v>91</v>
      </c>
      <c r="G41" s="5">
        <v>39.04</v>
      </c>
      <c r="H41" s="3" t="s">
        <v>25</v>
      </c>
      <c r="I41" s="3" t="s">
        <v>26</v>
      </c>
      <c r="J41" s="5">
        <v>9369.64</v>
      </c>
    </row>
    <row r="42" spans="1:10" x14ac:dyDescent="0.3">
      <c r="A42" s="3" t="s">
        <v>92</v>
      </c>
      <c r="B42" s="4">
        <v>45321</v>
      </c>
      <c r="C42" s="3" t="s">
        <v>11</v>
      </c>
      <c r="D42" s="3" t="s">
        <v>18</v>
      </c>
      <c r="E42" s="3" t="s">
        <v>23</v>
      </c>
      <c r="F42" s="3" t="s">
        <v>37</v>
      </c>
      <c r="G42" s="5">
        <v>39.03</v>
      </c>
      <c r="H42" s="3" t="s">
        <v>30</v>
      </c>
      <c r="I42" s="3" t="s">
        <v>26</v>
      </c>
      <c r="J42" s="5">
        <v>9330.61</v>
      </c>
    </row>
    <row r="43" spans="1:10" x14ac:dyDescent="0.3">
      <c r="A43" s="3" t="s">
        <v>93</v>
      </c>
      <c r="B43" s="4">
        <v>45322</v>
      </c>
      <c r="C43" s="3" t="s">
        <v>11</v>
      </c>
      <c r="D43" s="3" t="s">
        <v>18</v>
      </c>
      <c r="E43" s="3" t="s">
        <v>47</v>
      </c>
      <c r="F43" s="3" t="s">
        <v>60</v>
      </c>
      <c r="G43" s="5">
        <v>31.67</v>
      </c>
      <c r="H43" s="3" t="s">
        <v>25</v>
      </c>
      <c r="I43" s="3" t="s">
        <v>26</v>
      </c>
      <c r="J43" s="5">
        <v>9298.94</v>
      </c>
    </row>
    <row r="44" spans="1:10" x14ac:dyDescent="0.3">
      <c r="A44" s="3" t="s">
        <v>94</v>
      </c>
      <c r="B44" s="4">
        <v>45323</v>
      </c>
      <c r="C44" s="3" t="s">
        <v>11</v>
      </c>
      <c r="D44" s="3" t="s">
        <v>12</v>
      </c>
      <c r="E44" s="3" t="s">
        <v>13</v>
      </c>
      <c r="F44" s="3" t="s">
        <v>14</v>
      </c>
      <c r="G44" s="5">
        <v>4340.54</v>
      </c>
      <c r="H44" s="3" t="s">
        <v>15</v>
      </c>
      <c r="I44" s="3" t="s">
        <v>16</v>
      </c>
      <c r="J44" s="5">
        <v>13639.48</v>
      </c>
    </row>
    <row r="45" spans="1:10" x14ac:dyDescent="0.3">
      <c r="A45" s="3" t="s">
        <v>95</v>
      </c>
      <c r="B45" s="4">
        <v>45323</v>
      </c>
      <c r="C45" s="3" t="s">
        <v>11</v>
      </c>
      <c r="D45" s="3" t="s">
        <v>18</v>
      </c>
      <c r="E45" s="3" t="s">
        <v>19</v>
      </c>
      <c r="F45" s="3" t="s">
        <v>96</v>
      </c>
      <c r="G45" s="5">
        <v>1394.28</v>
      </c>
      <c r="H45" s="3" t="s">
        <v>21</v>
      </c>
      <c r="I45" s="3" t="s">
        <v>16</v>
      </c>
      <c r="J45" s="5">
        <v>12245.2</v>
      </c>
    </row>
    <row r="46" spans="1:10" x14ac:dyDescent="0.3">
      <c r="A46" s="3" t="s">
        <v>97</v>
      </c>
      <c r="B46" s="4">
        <v>45325</v>
      </c>
      <c r="C46" s="3" t="s">
        <v>36</v>
      </c>
      <c r="D46" s="3" t="s">
        <v>18</v>
      </c>
      <c r="E46" s="3" t="s">
        <v>23</v>
      </c>
      <c r="F46" s="3" t="s">
        <v>98</v>
      </c>
      <c r="G46" s="5">
        <v>52.21</v>
      </c>
      <c r="H46" s="3" t="s">
        <v>25</v>
      </c>
      <c r="I46" s="3" t="s">
        <v>26</v>
      </c>
      <c r="J46" s="5">
        <v>12192.99</v>
      </c>
    </row>
    <row r="47" spans="1:10" x14ac:dyDescent="0.3">
      <c r="A47" s="3" t="s">
        <v>99</v>
      </c>
      <c r="B47" s="4">
        <v>45326</v>
      </c>
      <c r="C47" s="3" t="s">
        <v>11</v>
      </c>
      <c r="D47" s="3" t="s">
        <v>18</v>
      </c>
      <c r="E47" s="3" t="s">
        <v>23</v>
      </c>
      <c r="F47" s="3" t="s">
        <v>54</v>
      </c>
      <c r="G47" s="5">
        <v>79.680000000000007</v>
      </c>
      <c r="H47" s="3" t="s">
        <v>34</v>
      </c>
      <c r="I47" s="3" t="s">
        <v>26</v>
      </c>
      <c r="J47" s="5">
        <v>12113.31</v>
      </c>
    </row>
    <row r="48" spans="1:10" x14ac:dyDescent="0.3">
      <c r="A48" s="3" t="s">
        <v>100</v>
      </c>
      <c r="B48" s="4">
        <v>45326</v>
      </c>
      <c r="C48" s="3" t="s">
        <v>36</v>
      </c>
      <c r="D48" s="3" t="s">
        <v>18</v>
      </c>
      <c r="E48" s="3" t="s">
        <v>47</v>
      </c>
      <c r="F48" s="3" t="s">
        <v>69</v>
      </c>
      <c r="G48" s="5">
        <v>41.71</v>
      </c>
      <c r="H48" s="3" t="s">
        <v>30</v>
      </c>
      <c r="I48" s="3" t="s">
        <v>26</v>
      </c>
      <c r="J48" s="5">
        <v>12071.6</v>
      </c>
    </row>
    <row r="49" spans="1:10" x14ac:dyDescent="0.3">
      <c r="A49" s="3" t="s">
        <v>101</v>
      </c>
      <c r="B49" s="4">
        <v>45329</v>
      </c>
      <c r="C49" s="3" t="s">
        <v>36</v>
      </c>
      <c r="D49" s="3" t="s">
        <v>18</v>
      </c>
      <c r="E49" s="3" t="s">
        <v>23</v>
      </c>
      <c r="F49" s="3" t="s">
        <v>87</v>
      </c>
      <c r="G49" s="5">
        <v>20.91</v>
      </c>
      <c r="H49" s="3" t="s">
        <v>30</v>
      </c>
      <c r="I49" s="3" t="s">
        <v>26</v>
      </c>
      <c r="J49" s="5">
        <v>12050.69</v>
      </c>
    </row>
    <row r="50" spans="1:10" x14ac:dyDescent="0.3">
      <c r="A50" s="3" t="s">
        <v>102</v>
      </c>
      <c r="B50" s="4">
        <v>45330</v>
      </c>
      <c r="C50" s="3" t="s">
        <v>36</v>
      </c>
      <c r="D50" s="3" t="s">
        <v>18</v>
      </c>
      <c r="E50" s="3" t="s">
        <v>43</v>
      </c>
      <c r="F50" s="3" t="s">
        <v>103</v>
      </c>
      <c r="G50" s="5">
        <v>62.05</v>
      </c>
      <c r="H50" s="3" t="s">
        <v>21</v>
      </c>
      <c r="I50" s="3" t="s">
        <v>16</v>
      </c>
      <c r="J50" s="5">
        <v>11988.64</v>
      </c>
    </row>
    <row r="51" spans="1:10" x14ac:dyDescent="0.3">
      <c r="A51" s="3" t="s">
        <v>104</v>
      </c>
      <c r="B51" s="4">
        <v>45331</v>
      </c>
      <c r="C51" s="3" t="s">
        <v>11</v>
      </c>
      <c r="D51" s="3" t="s">
        <v>18</v>
      </c>
      <c r="E51" s="3" t="s">
        <v>43</v>
      </c>
      <c r="F51" s="3" t="s">
        <v>44</v>
      </c>
      <c r="G51" s="5">
        <v>163.56</v>
      </c>
      <c r="H51" s="3" t="s">
        <v>21</v>
      </c>
      <c r="I51" s="3" t="s">
        <v>16</v>
      </c>
      <c r="J51" s="5">
        <v>11825.08</v>
      </c>
    </row>
    <row r="52" spans="1:10" x14ac:dyDescent="0.3">
      <c r="A52" s="3" t="s">
        <v>105</v>
      </c>
      <c r="B52" s="4">
        <v>45331</v>
      </c>
      <c r="C52" s="3" t="s">
        <v>36</v>
      </c>
      <c r="D52" s="3" t="s">
        <v>18</v>
      </c>
      <c r="E52" s="3" t="s">
        <v>47</v>
      </c>
      <c r="F52" s="3" t="s">
        <v>106</v>
      </c>
      <c r="G52" s="5">
        <v>55.59</v>
      </c>
      <c r="H52" s="3" t="s">
        <v>25</v>
      </c>
      <c r="I52" s="3" t="s">
        <v>26</v>
      </c>
      <c r="J52" s="5">
        <v>11769.49</v>
      </c>
    </row>
    <row r="53" spans="1:10" x14ac:dyDescent="0.3">
      <c r="A53" s="3" t="s">
        <v>107</v>
      </c>
      <c r="B53" s="4">
        <v>45332</v>
      </c>
      <c r="C53" s="3" t="s">
        <v>11</v>
      </c>
      <c r="D53" s="3" t="s">
        <v>12</v>
      </c>
      <c r="E53" s="3" t="s">
        <v>108</v>
      </c>
      <c r="F53" s="3" t="s">
        <v>109</v>
      </c>
      <c r="G53" s="5">
        <v>927.15</v>
      </c>
      <c r="H53" s="3" t="s">
        <v>110</v>
      </c>
      <c r="I53" s="3" t="s">
        <v>26</v>
      </c>
      <c r="J53" s="5">
        <v>12696.64</v>
      </c>
    </row>
    <row r="54" spans="1:10" x14ac:dyDescent="0.3">
      <c r="A54" s="3" t="s">
        <v>111</v>
      </c>
      <c r="B54" s="4">
        <v>45332</v>
      </c>
      <c r="C54" s="3" t="s">
        <v>36</v>
      </c>
      <c r="D54" s="3" t="s">
        <v>18</v>
      </c>
      <c r="E54" s="3" t="s">
        <v>43</v>
      </c>
      <c r="F54" s="3" t="s">
        <v>44</v>
      </c>
      <c r="G54" s="5">
        <v>158.62</v>
      </c>
      <c r="H54" s="3" t="s">
        <v>21</v>
      </c>
      <c r="I54" s="3" t="s">
        <v>16</v>
      </c>
      <c r="J54" s="5">
        <v>12538.02</v>
      </c>
    </row>
    <row r="55" spans="1:10" x14ac:dyDescent="0.3">
      <c r="A55" s="3" t="s">
        <v>112</v>
      </c>
      <c r="B55" s="4">
        <v>45333</v>
      </c>
      <c r="C55" s="3" t="s">
        <v>11</v>
      </c>
      <c r="D55" s="3" t="s">
        <v>18</v>
      </c>
      <c r="E55" s="3" t="s">
        <v>28</v>
      </c>
      <c r="F55" s="3" t="s">
        <v>29</v>
      </c>
      <c r="G55" s="5">
        <v>178.33</v>
      </c>
      <c r="H55" s="3" t="s">
        <v>34</v>
      </c>
      <c r="I55" s="3" t="s">
        <v>26</v>
      </c>
      <c r="J55" s="5">
        <v>12359.69</v>
      </c>
    </row>
    <row r="56" spans="1:10" x14ac:dyDescent="0.3">
      <c r="A56" s="3" t="s">
        <v>113</v>
      </c>
      <c r="B56" s="4">
        <v>45334</v>
      </c>
      <c r="C56" s="3" t="s">
        <v>11</v>
      </c>
      <c r="D56" s="3" t="s">
        <v>18</v>
      </c>
      <c r="E56" s="3" t="s">
        <v>28</v>
      </c>
      <c r="F56" s="3" t="s">
        <v>114</v>
      </c>
      <c r="G56" s="5">
        <v>93.21</v>
      </c>
      <c r="H56" s="3" t="s">
        <v>30</v>
      </c>
      <c r="I56" s="3" t="s">
        <v>26</v>
      </c>
      <c r="J56" s="5">
        <v>12266.48</v>
      </c>
    </row>
    <row r="57" spans="1:10" x14ac:dyDescent="0.3">
      <c r="A57" s="3" t="s">
        <v>115</v>
      </c>
      <c r="B57" s="4">
        <v>45334</v>
      </c>
      <c r="C57" s="3" t="s">
        <v>11</v>
      </c>
      <c r="D57" s="3" t="s">
        <v>18</v>
      </c>
      <c r="E57" s="3" t="s">
        <v>47</v>
      </c>
      <c r="F57" s="3" t="s">
        <v>60</v>
      </c>
      <c r="G57" s="5">
        <v>28.82</v>
      </c>
      <c r="H57" s="3" t="s">
        <v>25</v>
      </c>
      <c r="I57" s="3" t="s">
        <v>26</v>
      </c>
      <c r="J57" s="5">
        <v>12237.66</v>
      </c>
    </row>
    <row r="58" spans="1:10" x14ac:dyDescent="0.3">
      <c r="A58" s="3" t="s">
        <v>116</v>
      </c>
      <c r="B58" s="4">
        <v>45336</v>
      </c>
      <c r="C58" s="3" t="s">
        <v>11</v>
      </c>
      <c r="D58" s="3" t="s">
        <v>18</v>
      </c>
      <c r="E58" s="3" t="s">
        <v>28</v>
      </c>
      <c r="F58" s="3" t="s">
        <v>117</v>
      </c>
      <c r="G58" s="5">
        <v>48.96</v>
      </c>
      <c r="H58" s="3" t="s">
        <v>30</v>
      </c>
      <c r="I58" s="3" t="s">
        <v>26</v>
      </c>
      <c r="J58" s="5">
        <v>12188.7</v>
      </c>
    </row>
    <row r="59" spans="1:10" x14ac:dyDescent="0.3">
      <c r="A59" s="3" t="s">
        <v>118</v>
      </c>
      <c r="B59" s="4">
        <v>45336</v>
      </c>
      <c r="C59" s="3" t="s">
        <v>11</v>
      </c>
      <c r="D59" s="3" t="s">
        <v>18</v>
      </c>
      <c r="E59" s="3" t="s">
        <v>23</v>
      </c>
      <c r="F59" s="3" t="s">
        <v>87</v>
      </c>
      <c r="G59" s="5">
        <v>11.16</v>
      </c>
      <c r="H59" s="3" t="s">
        <v>30</v>
      </c>
      <c r="I59" s="3" t="s">
        <v>26</v>
      </c>
      <c r="J59" s="5">
        <v>12177.54</v>
      </c>
    </row>
    <row r="60" spans="1:10" x14ac:dyDescent="0.3">
      <c r="A60" s="3" t="s">
        <v>119</v>
      </c>
      <c r="B60" s="4">
        <v>45337</v>
      </c>
      <c r="C60" s="3" t="s">
        <v>11</v>
      </c>
      <c r="D60" s="3" t="s">
        <v>12</v>
      </c>
      <c r="E60" s="3" t="s">
        <v>13</v>
      </c>
      <c r="F60" s="3" t="s">
        <v>14</v>
      </c>
      <c r="G60" s="5">
        <v>4671.47</v>
      </c>
      <c r="H60" s="3" t="s">
        <v>15</v>
      </c>
      <c r="I60" s="3" t="s">
        <v>16</v>
      </c>
      <c r="J60" s="5">
        <v>16849.009999999998</v>
      </c>
    </row>
    <row r="61" spans="1:10" x14ac:dyDescent="0.3">
      <c r="A61" s="3" t="s">
        <v>120</v>
      </c>
      <c r="B61" s="4">
        <v>45337</v>
      </c>
      <c r="C61" s="3" t="s">
        <v>36</v>
      </c>
      <c r="D61" s="3" t="s">
        <v>18</v>
      </c>
      <c r="E61" s="3" t="s">
        <v>28</v>
      </c>
      <c r="F61" s="3" t="s">
        <v>52</v>
      </c>
      <c r="G61" s="5">
        <v>143.03</v>
      </c>
      <c r="H61" s="3" t="s">
        <v>34</v>
      </c>
      <c r="I61" s="3" t="s">
        <v>26</v>
      </c>
      <c r="J61" s="5">
        <v>16705.98</v>
      </c>
    </row>
    <row r="62" spans="1:10" x14ac:dyDescent="0.3">
      <c r="A62" s="3" t="s">
        <v>121</v>
      </c>
      <c r="B62" s="4">
        <v>45338</v>
      </c>
      <c r="C62" s="3" t="s">
        <v>11</v>
      </c>
      <c r="D62" s="3" t="s">
        <v>18</v>
      </c>
      <c r="E62" s="3" t="s">
        <v>28</v>
      </c>
      <c r="F62" s="3" t="s">
        <v>117</v>
      </c>
      <c r="G62" s="5">
        <v>163.32</v>
      </c>
      <c r="H62" s="3" t="s">
        <v>30</v>
      </c>
      <c r="I62" s="3" t="s">
        <v>26</v>
      </c>
      <c r="J62" s="5">
        <v>16542.66</v>
      </c>
    </row>
    <row r="63" spans="1:10" x14ac:dyDescent="0.3">
      <c r="A63" s="3" t="s">
        <v>122</v>
      </c>
      <c r="B63" s="4">
        <v>45339</v>
      </c>
      <c r="C63" s="3" t="s">
        <v>36</v>
      </c>
      <c r="D63" s="3" t="s">
        <v>18</v>
      </c>
      <c r="E63" s="3" t="s">
        <v>28</v>
      </c>
      <c r="F63" s="3" t="s">
        <v>74</v>
      </c>
      <c r="G63" s="5">
        <v>42.27</v>
      </c>
      <c r="H63" s="3" t="s">
        <v>34</v>
      </c>
      <c r="I63" s="3" t="s">
        <v>26</v>
      </c>
      <c r="J63" s="5">
        <v>16500.39</v>
      </c>
    </row>
    <row r="64" spans="1:10" x14ac:dyDescent="0.3">
      <c r="A64" s="3" t="s">
        <v>123</v>
      </c>
      <c r="B64" s="4">
        <v>45339</v>
      </c>
      <c r="C64" s="3" t="s">
        <v>36</v>
      </c>
      <c r="D64" s="3" t="s">
        <v>18</v>
      </c>
      <c r="E64" s="3" t="s">
        <v>23</v>
      </c>
      <c r="F64" s="3" t="s">
        <v>124</v>
      </c>
      <c r="G64" s="5">
        <v>75.11</v>
      </c>
      <c r="H64" s="3" t="s">
        <v>25</v>
      </c>
      <c r="I64" s="3" t="s">
        <v>26</v>
      </c>
      <c r="J64" s="5">
        <v>16425.28</v>
      </c>
    </row>
    <row r="65" spans="1:10" x14ac:dyDescent="0.3">
      <c r="A65" s="3" t="s">
        <v>125</v>
      </c>
      <c r="B65" s="4">
        <v>45340</v>
      </c>
      <c r="C65" s="3" t="s">
        <v>126</v>
      </c>
      <c r="D65" s="3" t="s">
        <v>12</v>
      </c>
      <c r="E65" s="3" t="s">
        <v>108</v>
      </c>
      <c r="F65" s="3" t="s">
        <v>127</v>
      </c>
      <c r="G65" s="5">
        <v>1257.07</v>
      </c>
      <c r="H65" s="3" t="s">
        <v>110</v>
      </c>
      <c r="I65" s="3" t="s">
        <v>26</v>
      </c>
      <c r="J65" s="5">
        <v>17682.349999999999</v>
      </c>
    </row>
    <row r="66" spans="1:10" x14ac:dyDescent="0.3">
      <c r="A66" s="3" t="s">
        <v>128</v>
      </c>
      <c r="B66" s="4">
        <v>45340</v>
      </c>
      <c r="C66" s="3" t="s">
        <v>36</v>
      </c>
      <c r="D66" s="3" t="s">
        <v>18</v>
      </c>
      <c r="E66" s="3" t="s">
        <v>28</v>
      </c>
      <c r="F66" s="3" t="s">
        <v>58</v>
      </c>
      <c r="G66" s="5">
        <v>164.44</v>
      </c>
      <c r="H66" s="3" t="s">
        <v>30</v>
      </c>
      <c r="I66" s="3" t="s">
        <v>26</v>
      </c>
      <c r="J66" s="5">
        <v>17517.91</v>
      </c>
    </row>
    <row r="67" spans="1:10" x14ac:dyDescent="0.3">
      <c r="A67" s="3" t="s">
        <v>129</v>
      </c>
      <c r="B67" s="4">
        <v>45341</v>
      </c>
      <c r="C67" s="3" t="s">
        <v>36</v>
      </c>
      <c r="D67" s="3" t="s">
        <v>18</v>
      </c>
      <c r="E67" s="3" t="s">
        <v>28</v>
      </c>
      <c r="F67" s="3" t="s">
        <v>117</v>
      </c>
      <c r="G67" s="5">
        <v>172.77</v>
      </c>
      <c r="H67" s="3" t="s">
        <v>34</v>
      </c>
      <c r="I67" s="3" t="s">
        <v>26</v>
      </c>
      <c r="J67" s="5">
        <v>17345.14</v>
      </c>
    </row>
    <row r="68" spans="1:10" x14ac:dyDescent="0.3">
      <c r="A68" s="3" t="s">
        <v>130</v>
      </c>
      <c r="B68" s="4">
        <v>45341</v>
      </c>
      <c r="C68" s="3" t="s">
        <v>11</v>
      </c>
      <c r="D68" s="3" t="s">
        <v>18</v>
      </c>
      <c r="E68" s="3" t="s">
        <v>47</v>
      </c>
      <c r="F68" s="3" t="s">
        <v>106</v>
      </c>
      <c r="G68" s="5">
        <v>9.76</v>
      </c>
      <c r="H68" s="3" t="s">
        <v>34</v>
      </c>
      <c r="I68" s="3" t="s">
        <v>26</v>
      </c>
      <c r="J68" s="5">
        <v>17335.38</v>
      </c>
    </row>
    <row r="69" spans="1:10" x14ac:dyDescent="0.3">
      <c r="A69" s="3" t="s">
        <v>131</v>
      </c>
      <c r="B69" s="4">
        <v>45343</v>
      </c>
      <c r="C69" s="3" t="s">
        <v>11</v>
      </c>
      <c r="D69" s="3" t="s">
        <v>18</v>
      </c>
      <c r="E69" s="3" t="s">
        <v>28</v>
      </c>
      <c r="F69" s="3" t="s">
        <v>79</v>
      </c>
      <c r="G69" s="5">
        <v>47.56</v>
      </c>
      <c r="H69" s="3" t="s">
        <v>34</v>
      </c>
      <c r="I69" s="3" t="s">
        <v>26</v>
      </c>
      <c r="J69" s="5">
        <v>17287.82</v>
      </c>
    </row>
    <row r="70" spans="1:10" x14ac:dyDescent="0.3">
      <c r="A70" s="3" t="s">
        <v>132</v>
      </c>
      <c r="B70" s="4">
        <v>45343</v>
      </c>
      <c r="C70" s="3" t="s">
        <v>36</v>
      </c>
      <c r="D70" s="3" t="s">
        <v>18</v>
      </c>
      <c r="E70" s="3" t="s">
        <v>23</v>
      </c>
      <c r="F70" s="3" t="s">
        <v>24</v>
      </c>
      <c r="G70" s="5">
        <v>71.489999999999995</v>
      </c>
      <c r="H70" s="3" t="s">
        <v>34</v>
      </c>
      <c r="I70" s="3" t="s">
        <v>26</v>
      </c>
      <c r="J70" s="5">
        <v>17216.330000000002</v>
      </c>
    </row>
    <row r="71" spans="1:10" x14ac:dyDescent="0.3">
      <c r="A71" s="3" t="s">
        <v>133</v>
      </c>
      <c r="B71" s="4">
        <v>45344</v>
      </c>
      <c r="C71" s="3" t="s">
        <v>11</v>
      </c>
      <c r="D71" s="3" t="s">
        <v>18</v>
      </c>
      <c r="E71" s="3" t="s">
        <v>28</v>
      </c>
      <c r="F71" s="3" t="s">
        <v>74</v>
      </c>
      <c r="G71" s="5">
        <v>142.13</v>
      </c>
      <c r="H71" s="3" t="s">
        <v>34</v>
      </c>
      <c r="I71" s="3" t="s">
        <v>26</v>
      </c>
      <c r="J71" s="5">
        <v>17074.2</v>
      </c>
    </row>
    <row r="72" spans="1:10" x14ac:dyDescent="0.3">
      <c r="A72" s="3" t="s">
        <v>134</v>
      </c>
      <c r="B72" s="4">
        <v>45344</v>
      </c>
      <c r="C72" s="3" t="s">
        <v>11</v>
      </c>
      <c r="D72" s="3" t="s">
        <v>18</v>
      </c>
      <c r="E72" s="3" t="s">
        <v>23</v>
      </c>
      <c r="F72" s="3" t="s">
        <v>135</v>
      </c>
      <c r="G72" s="5">
        <v>23.46</v>
      </c>
      <c r="H72" s="3" t="s">
        <v>34</v>
      </c>
      <c r="I72" s="3" t="s">
        <v>26</v>
      </c>
      <c r="J72" s="5">
        <v>17050.740000000002</v>
      </c>
    </row>
    <row r="73" spans="1:10" x14ac:dyDescent="0.3">
      <c r="A73" s="3" t="s">
        <v>136</v>
      </c>
      <c r="B73" s="4">
        <v>45344</v>
      </c>
      <c r="C73" s="3" t="s">
        <v>11</v>
      </c>
      <c r="D73" s="3" t="s">
        <v>18</v>
      </c>
      <c r="E73" s="3" t="s">
        <v>39</v>
      </c>
      <c r="F73" s="3" t="s">
        <v>40</v>
      </c>
      <c r="G73" s="5">
        <v>32.94</v>
      </c>
      <c r="H73" s="3" t="s">
        <v>34</v>
      </c>
      <c r="I73" s="3" t="s">
        <v>26</v>
      </c>
      <c r="J73" s="5">
        <v>17017.8</v>
      </c>
    </row>
    <row r="74" spans="1:10" x14ac:dyDescent="0.3">
      <c r="A74" s="3" t="s">
        <v>137</v>
      </c>
      <c r="B74" s="4">
        <v>45345</v>
      </c>
      <c r="C74" s="3" t="s">
        <v>11</v>
      </c>
      <c r="D74" s="3" t="s">
        <v>18</v>
      </c>
      <c r="E74" s="3" t="s">
        <v>23</v>
      </c>
      <c r="F74" s="3" t="s">
        <v>124</v>
      </c>
      <c r="G74" s="5">
        <v>69.7</v>
      </c>
      <c r="H74" s="3" t="s">
        <v>25</v>
      </c>
      <c r="I74" s="3" t="s">
        <v>26</v>
      </c>
      <c r="J74" s="5">
        <v>16948.099999999999</v>
      </c>
    </row>
    <row r="75" spans="1:10" x14ac:dyDescent="0.3">
      <c r="A75" s="3" t="s">
        <v>138</v>
      </c>
      <c r="B75" s="4">
        <v>45346</v>
      </c>
      <c r="C75" s="3" t="s">
        <v>36</v>
      </c>
      <c r="D75" s="3" t="s">
        <v>18</v>
      </c>
      <c r="E75" s="3" t="s">
        <v>28</v>
      </c>
      <c r="F75" s="3" t="s">
        <v>117</v>
      </c>
      <c r="G75" s="5">
        <v>107.26</v>
      </c>
      <c r="H75" s="3" t="s">
        <v>30</v>
      </c>
      <c r="I75" s="3" t="s">
        <v>26</v>
      </c>
      <c r="J75" s="5">
        <v>16840.84</v>
      </c>
    </row>
    <row r="76" spans="1:10" x14ac:dyDescent="0.3">
      <c r="A76" s="3" t="s">
        <v>139</v>
      </c>
      <c r="B76" s="4">
        <v>45346</v>
      </c>
      <c r="C76" s="3" t="s">
        <v>36</v>
      </c>
      <c r="D76" s="3" t="s">
        <v>18</v>
      </c>
      <c r="E76" s="3" t="s">
        <v>23</v>
      </c>
      <c r="F76" s="3" t="s">
        <v>124</v>
      </c>
      <c r="G76" s="5">
        <v>53.55</v>
      </c>
      <c r="H76" s="3" t="s">
        <v>34</v>
      </c>
      <c r="I76" s="3" t="s">
        <v>26</v>
      </c>
      <c r="J76" s="5">
        <v>16787.29</v>
      </c>
    </row>
    <row r="77" spans="1:10" x14ac:dyDescent="0.3">
      <c r="A77" s="3" t="s">
        <v>140</v>
      </c>
      <c r="B77" s="4">
        <v>45347</v>
      </c>
      <c r="C77" s="3" t="s">
        <v>11</v>
      </c>
      <c r="D77" s="3" t="s">
        <v>18</v>
      </c>
      <c r="E77" s="3" t="s">
        <v>28</v>
      </c>
      <c r="F77" s="3" t="s">
        <v>58</v>
      </c>
      <c r="G77" s="5">
        <v>111.13</v>
      </c>
      <c r="H77" s="3" t="s">
        <v>30</v>
      </c>
      <c r="I77" s="3" t="s">
        <v>26</v>
      </c>
      <c r="J77" s="5">
        <v>16676.16</v>
      </c>
    </row>
    <row r="78" spans="1:10" x14ac:dyDescent="0.3">
      <c r="A78" s="3" t="s">
        <v>141</v>
      </c>
      <c r="B78" s="4">
        <v>45349</v>
      </c>
      <c r="C78" s="3" t="s">
        <v>11</v>
      </c>
      <c r="D78" s="3" t="s">
        <v>18</v>
      </c>
      <c r="E78" s="3" t="s">
        <v>23</v>
      </c>
      <c r="F78" s="3" t="s">
        <v>32</v>
      </c>
      <c r="G78" s="5">
        <v>70.27</v>
      </c>
      <c r="H78" s="3" t="s">
        <v>34</v>
      </c>
      <c r="I78" s="3" t="s">
        <v>26</v>
      </c>
      <c r="J78" s="5">
        <v>16605.89</v>
      </c>
    </row>
    <row r="79" spans="1:10" x14ac:dyDescent="0.3">
      <c r="A79" s="3" t="s">
        <v>142</v>
      </c>
      <c r="B79" s="4">
        <v>45349</v>
      </c>
      <c r="C79" s="3" t="s">
        <v>36</v>
      </c>
      <c r="D79" s="3" t="s">
        <v>18</v>
      </c>
      <c r="E79" s="3" t="s">
        <v>47</v>
      </c>
      <c r="F79" s="3" t="s">
        <v>69</v>
      </c>
      <c r="G79" s="5">
        <v>36.67</v>
      </c>
      <c r="H79" s="3" t="s">
        <v>34</v>
      </c>
      <c r="I79" s="3" t="s">
        <v>26</v>
      </c>
      <c r="J79" s="5">
        <v>16569.22</v>
      </c>
    </row>
    <row r="80" spans="1:10" x14ac:dyDescent="0.3">
      <c r="A80" s="3" t="s">
        <v>143</v>
      </c>
      <c r="B80" s="4">
        <v>45352</v>
      </c>
      <c r="C80" s="3" t="s">
        <v>11</v>
      </c>
      <c r="D80" s="3" t="s">
        <v>12</v>
      </c>
      <c r="E80" s="3" t="s">
        <v>13</v>
      </c>
      <c r="F80" s="3" t="s">
        <v>14</v>
      </c>
      <c r="G80" s="5">
        <v>4433.3599999999997</v>
      </c>
      <c r="H80" s="3" t="s">
        <v>15</v>
      </c>
      <c r="I80" s="3" t="s">
        <v>16</v>
      </c>
      <c r="J80" s="5">
        <v>21002.58</v>
      </c>
    </row>
    <row r="81" spans="1:10" x14ac:dyDescent="0.3">
      <c r="A81" s="3" t="s">
        <v>144</v>
      </c>
      <c r="B81" s="4">
        <v>45352</v>
      </c>
      <c r="C81" s="3" t="s">
        <v>11</v>
      </c>
      <c r="D81" s="3" t="s">
        <v>18</v>
      </c>
      <c r="E81" s="3" t="s">
        <v>19</v>
      </c>
      <c r="F81" s="3" t="s">
        <v>20</v>
      </c>
      <c r="G81" s="5">
        <v>1639.19</v>
      </c>
      <c r="H81" s="3" t="s">
        <v>21</v>
      </c>
      <c r="I81" s="3" t="s">
        <v>16</v>
      </c>
      <c r="J81" s="5">
        <v>19363.39</v>
      </c>
    </row>
    <row r="82" spans="1:10" x14ac:dyDescent="0.3">
      <c r="A82" s="3" t="s">
        <v>145</v>
      </c>
      <c r="B82" s="4">
        <v>45352</v>
      </c>
      <c r="C82" s="3" t="s">
        <v>11</v>
      </c>
      <c r="D82" s="3" t="s">
        <v>18</v>
      </c>
      <c r="E82" s="3" t="s">
        <v>47</v>
      </c>
      <c r="F82" s="3" t="s">
        <v>69</v>
      </c>
      <c r="G82" s="5">
        <v>10.1</v>
      </c>
      <c r="H82" s="3" t="s">
        <v>30</v>
      </c>
      <c r="I82" s="3" t="s">
        <v>26</v>
      </c>
      <c r="J82" s="5">
        <v>19353.29</v>
      </c>
    </row>
    <row r="83" spans="1:10" x14ac:dyDescent="0.3">
      <c r="A83" s="3" t="s">
        <v>146</v>
      </c>
      <c r="B83" s="4">
        <v>45352</v>
      </c>
      <c r="C83" s="3" t="s">
        <v>36</v>
      </c>
      <c r="D83" s="3" t="s">
        <v>18</v>
      </c>
      <c r="E83" s="3" t="s">
        <v>39</v>
      </c>
      <c r="F83" s="3" t="s">
        <v>64</v>
      </c>
      <c r="G83" s="5">
        <v>56.64</v>
      </c>
      <c r="H83" s="3" t="s">
        <v>30</v>
      </c>
      <c r="I83" s="3" t="s">
        <v>26</v>
      </c>
      <c r="J83" s="5">
        <v>19296.650000000001</v>
      </c>
    </row>
    <row r="84" spans="1:10" x14ac:dyDescent="0.3">
      <c r="A84" s="3" t="s">
        <v>147</v>
      </c>
      <c r="B84" s="4">
        <v>45353</v>
      </c>
      <c r="C84" s="3" t="s">
        <v>11</v>
      </c>
      <c r="D84" s="3" t="s">
        <v>18</v>
      </c>
      <c r="E84" s="3" t="s">
        <v>47</v>
      </c>
      <c r="F84" s="3" t="s">
        <v>106</v>
      </c>
      <c r="G84" s="5">
        <v>35.4</v>
      </c>
      <c r="H84" s="3" t="s">
        <v>25</v>
      </c>
      <c r="I84" s="3" t="s">
        <v>26</v>
      </c>
      <c r="J84" s="5">
        <v>19261.25</v>
      </c>
    </row>
    <row r="85" spans="1:10" x14ac:dyDescent="0.3">
      <c r="A85" s="3" t="s">
        <v>148</v>
      </c>
      <c r="B85" s="4">
        <v>45354</v>
      </c>
      <c r="C85" s="3" t="s">
        <v>36</v>
      </c>
      <c r="D85" s="3" t="s">
        <v>18</v>
      </c>
      <c r="E85" s="3" t="s">
        <v>47</v>
      </c>
      <c r="F85" s="3" t="s">
        <v>60</v>
      </c>
      <c r="G85" s="5">
        <v>56.46</v>
      </c>
      <c r="H85" s="3" t="s">
        <v>25</v>
      </c>
      <c r="I85" s="3" t="s">
        <v>26</v>
      </c>
      <c r="J85" s="5">
        <v>19204.79</v>
      </c>
    </row>
    <row r="86" spans="1:10" x14ac:dyDescent="0.3">
      <c r="A86" s="3" t="s">
        <v>149</v>
      </c>
      <c r="B86" s="4">
        <v>45355</v>
      </c>
      <c r="C86" s="3" t="s">
        <v>11</v>
      </c>
      <c r="D86" s="3" t="s">
        <v>18</v>
      </c>
      <c r="E86" s="3" t="s">
        <v>23</v>
      </c>
      <c r="F86" s="3" t="s">
        <v>124</v>
      </c>
      <c r="G86" s="5">
        <v>24.18</v>
      </c>
      <c r="H86" s="3" t="s">
        <v>34</v>
      </c>
      <c r="I86" s="3" t="s">
        <v>26</v>
      </c>
      <c r="J86" s="5">
        <v>19180.61</v>
      </c>
    </row>
    <row r="87" spans="1:10" x14ac:dyDescent="0.3">
      <c r="A87" s="3" t="s">
        <v>150</v>
      </c>
      <c r="B87" s="4">
        <v>45356</v>
      </c>
      <c r="C87" s="3" t="s">
        <v>11</v>
      </c>
      <c r="D87" s="3" t="s">
        <v>18</v>
      </c>
      <c r="E87" s="3" t="s">
        <v>43</v>
      </c>
      <c r="F87" s="3" t="s">
        <v>151</v>
      </c>
      <c r="G87" s="5">
        <v>123.64</v>
      </c>
      <c r="H87" s="3" t="s">
        <v>21</v>
      </c>
      <c r="I87" s="3" t="s">
        <v>16</v>
      </c>
      <c r="J87" s="5">
        <v>19056.97</v>
      </c>
    </row>
    <row r="88" spans="1:10" x14ac:dyDescent="0.3">
      <c r="A88" s="3" t="s">
        <v>152</v>
      </c>
      <c r="B88" s="4">
        <v>45357</v>
      </c>
      <c r="C88" s="3" t="s">
        <v>11</v>
      </c>
      <c r="D88" s="3" t="s">
        <v>18</v>
      </c>
      <c r="E88" s="3" t="s">
        <v>43</v>
      </c>
      <c r="F88" s="3" t="s">
        <v>103</v>
      </c>
      <c r="G88" s="5">
        <v>189.34</v>
      </c>
      <c r="H88" s="3" t="s">
        <v>21</v>
      </c>
      <c r="I88" s="3" t="s">
        <v>16</v>
      </c>
      <c r="J88" s="5">
        <v>18867.63</v>
      </c>
    </row>
    <row r="89" spans="1:10" x14ac:dyDescent="0.3">
      <c r="A89" s="3" t="s">
        <v>153</v>
      </c>
      <c r="B89" s="4">
        <v>45357</v>
      </c>
      <c r="C89" s="3" t="s">
        <v>11</v>
      </c>
      <c r="D89" s="3" t="s">
        <v>18</v>
      </c>
      <c r="E89" s="3" t="s">
        <v>28</v>
      </c>
      <c r="F89" s="3" t="s">
        <v>58</v>
      </c>
      <c r="G89" s="5">
        <v>63.79</v>
      </c>
      <c r="H89" s="3" t="s">
        <v>30</v>
      </c>
      <c r="I89" s="3" t="s">
        <v>26</v>
      </c>
      <c r="J89" s="5">
        <v>18803.84</v>
      </c>
    </row>
    <row r="90" spans="1:10" x14ac:dyDescent="0.3">
      <c r="A90" s="3" t="s">
        <v>154</v>
      </c>
      <c r="B90" s="4">
        <v>45357</v>
      </c>
      <c r="C90" s="3" t="s">
        <v>11</v>
      </c>
      <c r="D90" s="3" t="s">
        <v>18</v>
      </c>
      <c r="E90" s="3" t="s">
        <v>23</v>
      </c>
      <c r="F90" s="3" t="s">
        <v>24</v>
      </c>
      <c r="G90" s="5">
        <v>13.02</v>
      </c>
      <c r="H90" s="3" t="s">
        <v>30</v>
      </c>
      <c r="I90" s="3" t="s">
        <v>26</v>
      </c>
      <c r="J90" s="5">
        <v>18790.82</v>
      </c>
    </row>
    <row r="91" spans="1:10" x14ac:dyDescent="0.3">
      <c r="A91" s="3" t="s">
        <v>155</v>
      </c>
      <c r="B91" s="4">
        <v>45358</v>
      </c>
      <c r="C91" s="3" t="s">
        <v>36</v>
      </c>
      <c r="D91" s="3" t="s">
        <v>18</v>
      </c>
      <c r="E91" s="3" t="s">
        <v>39</v>
      </c>
      <c r="F91" s="3" t="s">
        <v>156</v>
      </c>
      <c r="G91" s="5">
        <v>31.95</v>
      </c>
      <c r="H91" s="3" t="s">
        <v>30</v>
      </c>
      <c r="I91" s="3" t="s">
        <v>26</v>
      </c>
      <c r="J91" s="5">
        <v>18758.87</v>
      </c>
    </row>
    <row r="92" spans="1:10" x14ac:dyDescent="0.3">
      <c r="A92" s="3" t="s">
        <v>157</v>
      </c>
      <c r="B92" s="4">
        <v>45359</v>
      </c>
      <c r="C92" s="3" t="s">
        <v>36</v>
      </c>
      <c r="D92" s="3" t="s">
        <v>18</v>
      </c>
      <c r="E92" s="3" t="s">
        <v>43</v>
      </c>
      <c r="F92" s="3" t="s">
        <v>44</v>
      </c>
      <c r="G92" s="5">
        <v>171.91</v>
      </c>
      <c r="H92" s="3" t="s">
        <v>21</v>
      </c>
      <c r="I92" s="3" t="s">
        <v>16</v>
      </c>
      <c r="J92" s="5">
        <v>18586.96</v>
      </c>
    </row>
    <row r="93" spans="1:10" x14ac:dyDescent="0.3">
      <c r="A93" s="3" t="s">
        <v>158</v>
      </c>
      <c r="B93" s="4">
        <v>45359</v>
      </c>
      <c r="C93" s="3" t="s">
        <v>11</v>
      </c>
      <c r="D93" s="3" t="s">
        <v>18</v>
      </c>
      <c r="E93" s="3" t="s">
        <v>28</v>
      </c>
      <c r="F93" s="3" t="s">
        <v>117</v>
      </c>
      <c r="G93" s="5">
        <v>73.150000000000006</v>
      </c>
      <c r="H93" s="3" t="s">
        <v>30</v>
      </c>
      <c r="I93" s="3" t="s">
        <v>26</v>
      </c>
      <c r="J93" s="5">
        <v>18513.810000000001</v>
      </c>
    </row>
    <row r="94" spans="1:10" x14ac:dyDescent="0.3">
      <c r="A94" s="3" t="s">
        <v>159</v>
      </c>
      <c r="B94" s="4">
        <v>45359</v>
      </c>
      <c r="C94" s="3" t="s">
        <v>11</v>
      </c>
      <c r="D94" s="3" t="s">
        <v>18</v>
      </c>
      <c r="E94" s="3" t="s">
        <v>23</v>
      </c>
      <c r="F94" s="3" t="s">
        <v>98</v>
      </c>
      <c r="G94" s="5">
        <v>69.75</v>
      </c>
      <c r="H94" s="3" t="s">
        <v>34</v>
      </c>
      <c r="I94" s="3" t="s">
        <v>26</v>
      </c>
      <c r="J94" s="5">
        <v>18444.060000000001</v>
      </c>
    </row>
    <row r="95" spans="1:10" x14ac:dyDescent="0.3">
      <c r="A95" s="3" t="s">
        <v>160</v>
      </c>
      <c r="B95" s="4">
        <v>45359</v>
      </c>
      <c r="C95" s="3" t="s">
        <v>11</v>
      </c>
      <c r="D95" s="3" t="s">
        <v>18</v>
      </c>
      <c r="E95" s="3" t="s">
        <v>47</v>
      </c>
      <c r="F95" s="3" t="s">
        <v>106</v>
      </c>
      <c r="G95" s="5">
        <v>55.29</v>
      </c>
      <c r="H95" s="3" t="s">
        <v>34</v>
      </c>
      <c r="I95" s="3" t="s">
        <v>26</v>
      </c>
      <c r="J95" s="5">
        <v>18388.77</v>
      </c>
    </row>
    <row r="96" spans="1:10" x14ac:dyDescent="0.3">
      <c r="A96" s="3" t="s">
        <v>161</v>
      </c>
      <c r="B96" s="4">
        <v>45360</v>
      </c>
      <c r="C96" s="3" t="s">
        <v>11</v>
      </c>
      <c r="D96" s="3" t="s">
        <v>18</v>
      </c>
      <c r="E96" s="3" t="s">
        <v>23</v>
      </c>
      <c r="F96" s="3" t="s">
        <v>87</v>
      </c>
      <c r="G96" s="5">
        <v>51.22</v>
      </c>
      <c r="H96" s="3" t="s">
        <v>34</v>
      </c>
      <c r="I96" s="3" t="s">
        <v>26</v>
      </c>
      <c r="J96" s="5">
        <v>18337.55</v>
      </c>
    </row>
    <row r="97" spans="1:10" x14ac:dyDescent="0.3">
      <c r="A97" s="3" t="s">
        <v>162</v>
      </c>
      <c r="B97" s="4">
        <v>45361</v>
      </c>
      <c r="C97" s="3" t="s">
        <v>11</v>
      </c>
      <c r="D97" s="3" t="s">
        <v>18</v>
      </c>
      <c r="E97" s="3" t="s">
        <v>43</v>
      </c>
      <c r="F97" s="3" t="s">
        <v>44</v>
      </c>
      <c r="G97" s="5">
        <v>166.34</v>
      </c>
      <c r="H97" s="3" t="s">
        <v>21</v>
      </c>
      <c r="I97" s="3" t="s">
        <v>16</v>
      </c>
      <c r="J97" s="5">
        <v>18171.21</v>
      </c>
    </row>
    <row r="98" spans="1:10" x14ac:dyDescent="0.3">
      <c r="A98" s="3" t="s">
        <v>163</v>
      </c>
      <c r="B98" s="4">
        <v>45361</v>
      </c>
      <c r="C98" s="3" t="s">
        <v>11</v>
      </c>
      <c r="D98" s="3" t="s">
        <v>18</v>
      </c>
      <c r="E98" s="3" t="s">
        <v>28</v>
      </c>
      <c r="F98" s="3" t="s">
        <v>114</v>
      </c>
      <c r="G98" s="5">
        <v>131.09</v>
      </c>
      <c r="H98" s="3" t="s">
        <v>30</v>
      </c>
      <c r="I98" s="3" t="s">
        <v>26</v>
      </c>
      <c r="J98" s="5">
        <v>18040.12</v>
      </c>
    </row>
    <row r="99" spans="1:10" x14ac:dyDescent="0.3">
      <c r="A99" s="3" t="s">
        <v>164</v>
      </c>
      <c r="B99" s="4">
        <v>45361</v>
      </c>
      <c r="C99" s="3" t="s">
        <v>36</v>
      </c>
      <c r="D99" s="3" t="s">
        <v>18</v>
      </c>
      <c r="E99" s="3" t="s">
        <v>47</v>
      </c>
      <c r="F99" s="3" t="s">
        <v>91</v>
      </c>
      <c r="G99" s="5">
        <v>17.88</v>
      </c>
      <c r="H99" s="3" t="s">
        <v>30</v>
      </c>
      <c r="I99" s="3" t="s">
        <v>26</v>
      </c>
      <c r="J99" s="5">
        <v>18022.240000000002</v>
      </c>
    </row>
    <row r="100" spans="1:10" x14ac:dyDescent="0.3">
      <c r="A100" s="3" t="s">
        <v>165</v>
      </c>
      <c r="B100" s="4">
        <v>45363</v>
      </c>
      <c r="C100" s="3" t="s">
        <v>11</v>
      </c>
      <c r="D100" s="3" t="s">
        <v>18</v>
      </c>
      <c r="E100" s="3" t="s">
        <v>23</v>
      </c>
      <c r="F100" s="3" t="s">
        <v>135</v>
      </c>
      <c r="G100" s="5">
        <v>29.34</v>
      </c>
      <c r="H100" s="3" t="s">
        <v>30</v>
      </c>
      <c r="I100" s="3" t="s">
        <v>26</v>
      </c>
      <c r="J100" s="5">
        <v>17992.900000000001</v>
      </c>
    </row>
    <row r="101" spans="1:10" x14ac:dyDescent="0.3">
      <c r="A101" s="3" t="s">
        <v>166</v>
      </c>
      <c r="B101" s="4">
        <v>45363</v>
      </c>
      <c r="C101" s="3" t="s">
        <v>36</v>
      </c>
      <c r="D101" s="3" t="s">
        <v>18</v>
      </c>
      <c r="E101" s="3" t="s">
        <v>47</v>
      </c>
      <c r="F101" s="3" t="s">
        <v>48</v>
      </c>
      <c r="G101" s="5">
        <v>25.13</v>
      </c>
      <c r="H101" s="3" t="s">
        <v>30</v>
      </c>
      <c r="I101" s="3" t="s">
        <v>26</v>
      </c>
      <c r="J101" s="5">
        <v>17967.77</v>
      </c>
    </row>
    <row r="102" spans="1:10" x14ac:dyDescent="0.3">
      <c r="A102" s="3" t="s">
        <v>167</v>
      </c>
      <c r="B102" s="4">
        <v>45364</v>
      </c>
      <c r="C102" s="3" t="s">
        <v>36</v>
      </c>
      <c r="D102" s="3" t="s">
        <v>18</v>
      </c>
      <c r="E102" s="3" t="s">
        <v>28</v>
      </c>
      <c r="F102" s="3" t="s">
        <v>74</v>
      </c>
      <c r="G102" s="5">
        <v>167.34</v>
      </c>
      <c r="H102" s="3" t="s">
        <v>30</v>
      </c>
      <c r="I102" s="3" t="s">
        <v>26</v>
      </c>
      <c r="J102" s="5">
        <v>17800.43</v>
      </c>
    </row>
    <row r="103" spans="1:10" x14ac:dyDescent="0.3">
      <c r="A103" s="3" t="s">
        <v>168</v>
      </c>
      <c r="B103" s="4">
        <v>45364</v>
      </c>
      <c r="C103" s="3" t="s">
        <v>11</v>
      </c>
      <c r="D103" s="3" t="s">
        <v>18</v>
      </c>
      <c r="E103" s="3" t="s">
        <v>47</v>
      </c>
      <c r="F103" s="3" t="s">
        <v>106</v>
      </c>
      <c r="G103" s="5">
        <v>55.25</v>
      </c>
      <c r="H103" s="3" t="s">
        <v>25</v>
      </c>
      <c r="I103" s="3" t="s">
        <v>26</v>
      </c>
      <c r="J103" s="5">
        <v>17745.18</v>
      </c>
    </row>
    <row r="104" spans="1:10" x14ac:dyDescent="0.3">
      <c r="A104" s="3" t="s">
        <v>169</v>
      </c>
      <c r="B104" s="4">
        <v>45364</v>
      </c>
      <c r="C104" s="3" t="s">
        <v>36</v>
      </c>
      <c r="D104" s="3" t="s">
        <v>18</v>
      </c>
      <c r="E104" s="3" t="s">
        <v>39</v>
      </c>
      <c r="F104" s="3" t="s">
        <v>170</v>
      </c>
      <c r="G104" s="5">
        <v>38.869999999999997</v>
      </c>
      <c r="H104" s="3" t="s">
        <v>30</v>
      </c>
      <c r="I104" s="3" t="s">
        <v>26</v>
      </c>
      <c r="J104" s="5">
        <v>17706.310000000001</v>
      </c>
    </row>
    <row r="105" spans="1:10" x14ac:dyDescent="0.3">
      <c r="A105" s="3" t="s">
        <v>171</v>
      </c>
      <c r="B105" s="4">
        <v>45366</v>
      </c>
      <c r="C105" s="3" t="s">
        <v>36</v>
      </c>
      <c r="D105" s="3" t="s">
        <v>18</v>
      </c>
      <c r="E105" s="3" t="s">
        <v>23</v>
      </c>
      <c r="F105" s="3" t="s">
        <v>98</v>
      </c>
      <c r="G105" s="5">
        <v>80.58</v>
      </c>
      <c r="H105" s="3" t="s">
        <v>30</v>
      </c>
      <c r="I105" s="3" t="s">
        <v>26</v>
      </c>
      <c r="J105" s="5">
        <v>17625.73</v>
      </c>
    </row>
    <row r="106" spans="1:10" x14ac:dyDescent="0.3">
      <c r="A106" s="3" t="s">
        <v>172</v>
      </c>
      <c r="B106" s="4">
        <v>45366</v>
      </c>
      <c r="C106" s="3" t="s">
        <v>36</v>
      </c>
      <c r="D106" s="3" t="s">
        <v>18</v>
      </c>
      <c r="E106" s="3" t="s">
        <v>47</v>
      </c>
      <c r="F106" s="3" t="s">
        <v>82</v>
      </c>
      <c r="G106" s="5">
        <v>14.52</v>
      </c>
      <c r="H106" s="3" t="s">
        <v>30</v>
      </c>
      <c r="I106" s="3" t="s">
        <v>26</v>
      </c>
      <c r="J106" s="5">
        <v>17611.21</v>
      </c>
    </row>
    <row r="107" spans="1:10" x14ac:dyDescent="0.3">
      <c r="A107" s="3" t="s">
        <v>173</v>
      </c>
      <c r="B107" s="4">
        <v>45367</v>
      </c>
      <c r="C107" s="3" t="s">
        <v>11</v>
      </c>
      <c r="D107" s="3" t="s">
        <v>18</v>
      </c>
      <c r="E107" s="3" t="s">
        <v>23</v>
      </c>
      <c r="F107" s="3" t="s">
        <v>32</v>
      </c>
      <c r="G107" s="5">
        <v>68.31</v>
      </c>
      <c r="H107" s="3" t="s">
        <v>25</v>
      </c>
      <c r="I107" s="3" t="s">
        <v>26</v>
      </c>
      <c r="J107" s="5">
        <v>17542.900000000001</v>
      </c>
    </row>
    <row r="108" spans="1:10" x14ac:dyDescent="0.3">
      <c r="A108" s="3" t="s">
        <v>174</v>
      </c>
      <c r="B108" s="4">
        <v>45368</v>
      </c>
      <c r="C108" s="3" t="s">
        <v>11</v>
      </c>
      <c r="D108" s="3" t="s">
        <v>18</v>
      </c>
      <c r="E108" s="3" t="s">
        <v>23</v>
      </c>
      <c r="F108" s="3" t="s">
        <v>32</v>
      </c>
      <c r="G108" s="5">
        <v>78.819999999999993</v>
      </c>
      <c r="H108" s="3" t="s">
        <v>25</v>
      </c>
      <c r="I108" s="3" t="s">
        <v>26</v>
      </c>
      <c r="J108" s="5">
        <v>17464.080000000002</v>
      </c>
    </row>
    <row r="109" spans="1:10" x14ac:dyDescent="0.3">
      <c r="A109" s="3" t="s">
        <v>175</v>
      </c>
      <c r="B109" s="4">
        <v>45369</v>
      </c>
      <c r="C109" s="3" t="s">
        <v>36</v>
      </c>
      <c r="D109" s="3" t="s">
        <v>18</v>
      </c>
      <c r="E109" s="3" t="s">
        <v>47</v>
      </c>
      <c r="F109" s="3" t="s">
        <v>82</v>
      </c>
      <c r="G109" s="5">
        <v>15.93</v>
      </c>
      <c r="H109" s="3" t="s">
        <v>34</v>
      </c>
      <c r="I109" s="3" t="s">
        <v>26</v>
      </c>
      <c r="J109" s="5">
        <v>17448.150000000001</v>
      </c>
    </row>
    <row r="110" spans="1:10" x14ac:dyDescent="0.3">
      <c r="A110" s="3" t="s">
        <v>176</v>
      </c>
      <c r="B110" s="4">
        <v>45370</v>
      </c>
      <c r="C110" s="3" t="s">
        <v>11</v>
      </c>
      <c r="D110" s="3" t="s">
        <v>18</v>
      </c>
      <c r="E110" s="3" t="s">
        <v>28</v>
      </c>
      <c r="F110" s="3" t="s">
        <v>117</v>
      </c>
      <c r="G110" s="5">
        <v>33.49</v>
      </c>
      <c r="H110" s="3" t="s">
        <v>34</v>
      </c>
      <c r="I110" s="3" t="s">
        <v>26</v>
      </c>
      <c r="J110" s="5">
        <v>17414.66</v>
      </c>
    </row>
    <row r="111" spans="1:10" x14ac:dyDescent="0.3">
      <c r="A111" s="3" t="s">
        <v>177</v>
      </c>
      <c r="B111" s="4">
        <v>45370</v>
      </c>
      <c r="C111" s="3" t="s">
        <v>11</v>
      </c>
      <c r="D111" s="3" t="s">
        <v>18</v>
      </c>
      <c r="E111" s="3" t="s">
        <v>39</v>
      </c>
      <c r="F111" s="3" t="s">
        <v>170</v>
      </c>
      <c r="G111" s="5">
        <v>85.44</v>
      </c>
      <c r="H111" s="3" t="s">
        <v>30</v>
      </c>
      <c r="I111" s="3" t="s">
        <v>26</v>
      </c>
      <c r="J111" s="5">
        <v>17329.22</v>
      </c>
    </row>
    <row r="112" spans="1:10" x14ac:dyDescent="0.3">
      <c r="A112" s="3" t="s">
        <v>178</v>
      </c>
      <c r="B112" s="4">
        <v>45371</v>
      </c>
      <c r="C112" s="3" t="s">
        <v>11</v>
      </c>
      <c r="D112" s="3" t="s">
        <v>18</v>
      </c>
      <c r="E112" s="3" t="s">
        <v>39</v>
      </c>
      <c r="F112" s="3" t="s">
        <v>179</v>
      </c>
      <c r="G112" s="5">
        <v>17.02</v>
      </c>
      <c r="H112" s="3" t="s">
        <v>30</v>
      </c>
      <c r="I112" s="3" t="s">
        <v>26</v>
      </c>
      <c r="J112" s="5">
        <v>17312.2</v>
      </c>
    </row>
    <row r="113" spans="1:10" x14ac:dyDescent="0.3">
      <c r="A113" s="3" t="s">
        <v>180</v>
      </c>
      <c r="B113" s="4">
        <v>45373</v>
      </c>
      <c r="C113" s="3" t="s">
        <v>36</v>
      </c>
      <c r="D113" s="3" t="s">
        <v>18</v>
      </c>
      <c r="E113" s="3" t="s">
        <v>47</v>
      </c>
      <c r="F113" s="3" t="s">
        <v>82</v>
      </c>
      <c r="G113" s="5">
        <v>44.75</v>
      </c>
      <c r="H113" s="3" t="s">
        <v>34</v>
      </c>
      <c r="I113" s="3" t="s">
        <v>26</v>
      </c>
      <c r="J113" s="5">
        <v>17267.45</v>
      </c>
    </row>
    <row r="114" spans="1:10" x14ac:dyDescent="0.3">
      <c r="A114" s="3" t="s">
        <v>181</v>
      </c>
      <c r="B114" s="4">
        <v>45375</v>
      </c>
      <c r="C114" s="3" t="s">
        <v>11</v>
      </c>
      <c r="D114" s="3" t="s">
        <v>18</v>
      </c>
      <c r="E114" s="3" t="s">
        <v>28</v>
      </c>
      <c r="F114" s="3" t="s">
        <v>74</v>
      </c>
      <c r="G114" s="5">
        <v>136.87</v>
      </c>
      <c r="H114" s="3" t="s">
        <v>30</v>
      </c>
      <c r="I114" s="3" t="s">
        <v>26</v>
      </c>
      <c r="J114" s="5">
        <v>17130.580000000002</v>
      </c>
    </row>
    <row r="115" spans="1:10" x14ac:dyDescent="0.3">
      <c r="A115" s="3" t="s">
        <v>182</v>
      </c>
      <c r="B115" s="4">
        <v>45376</v>
      </c>
      <c r="C115" s="3" t="s">
        <v>126</v>
      </c>
      <c r="D115" s="3" t="s">
        <v>12</v>
      </c>
      <c r="E115" s="3" t="s">
        <v>108</v>
      </c>
      <c r="F115" s="3" t="s">
        <v>127</v>
      </c>
      <c r="G115" s="5">
        <v>1204.2</v>
      </c>
      <c r="H115" s="3" t="s">
        <v>183</v>
      </c>
      <c r="I115" s="3" t="s">
        <v>26</v>
      </c>
      <c r="J115" s="5">
        <v>18334.78</v>
      </c>
    </row>
    <row r="116" spans="1:10" x14ac:dyDescent="0.3">
      <c r="A116" s="3" t="s">
        <v>184</v>
      </c>
      <c r="B116" s="4">
        <v>45377</v>
      </c>
      <c r="C116" s="3" t="s">
        <v>11</v>
      </c>
      <c r="D116" s="3" t="s">
        <v>18</v>
      </c>
      <c r="E116" s="3" t="s">
        <v>47</v>
      </c>
      <c r="F116" s="3" t="s">
        <v>69</v>
      </c>
      <c r="G116" s="5">
        <v>39.950000000000003</v>
      </c>
      <c r="H116" s="3" t="s">
        <v>30</v>
      </c>
      <c r="I116" s="3" t="s">
        <v>26</v>
      </c>
      <c r="J116" s="5">
        <v>18294.830000000002</v>
      </c>
    </row>
    <row r="117" spans="1:10" x14ac:dyDescent="0.3">
      <c r="A117" s="3" t="s">
        <v>185</v>
      </c>
      <c r="B117" s="4">
        <v>45377</v>
      </c>
      <c r="C117" s="3" t="s">
        <v>36</v>
      </c>
      <c r="D117" s="3" t="s">
        <v>18</v>
      </c>
      <c r="E117" s="3" t="s">
        <v>39</v>
      </c>
      <c r="F117" s="3" t="s">
        <v>186</v>
      </c>
      <c r="G117" s="5">
        <v>45.98</v>
      </c>
      <c r="H117" s="3" t="s">
        <v>34</v>
      </c>
      <c r="I117" s="3" t="s">
        <v>26</v>
      </c>
      <c r="J117" s="5">
        <v>18248.849999999999</v>
      </c>
    </row>
    <row r="118" spans="1:10" x14ac:dyDescent="0.3">
      <c r="A118" s="3" t="s">
        <v>187</v>
      </c>
      <c r="B118" s="4">
        <v>45381</v>
      </c>
      <c r="C118" s="3" t="s">
        <v>11</v>
      </c>
      <c r="D118" s="3" t="s">
        <v>18</v>
      </c>
      <c r="E118" s="3" t="s">
        <v>23</v>
      </c>
      <c r="F118" s="3" t="s">
        <v>135</v>
      </c>
      <c r="G118" s="5">
        <v>31.15</v>
      </c>
      <c r="H118" s="3" t="s">
        <v>30</v>
      </c>
      <c r="I118" s="3" t="s">
        <v>26</v>
      </c>
      <c r="J118" s="5">
        <v>18217.7</v>
      </c>
    </row>
    <row r="119" spans="1:10" x14ac:dyDescent="0.3">
      <c r="A119" s="3" t="s">
        <v>188</v>
      </c>
      <c r="B119" s="4">
        <v>45382</v>
      </c>
      <c r="C119" s="3" t="s">
        <v>11</v>
      </c>
      <c r="D119" s="3" t="s">
        <v>18</v>
      </c>
      <c r="E119" s="3" t="s">
        <v>28</v>
      </c>
      <c r="F119" s="3" t="s">
        <v>117</v>
      </c>
      <c r="G119" s="5">
        <v>165.26</v>
      </c>
      <c r="H119" s="3" t="s">
        <v>30</v>
      </c>
      <c r="I119" s="3" t="s">
        <v>26</v>
      </c>
      <c r="J119" s="5">
        <v>18052.439999999999</v>
      </c>
    </row>
    <row r="120" spans="1:10" x14ac:dyDescent="0.3">
      <c r="A120" s="3" t="s">
        <v>189</v>
      </c>
      <c r="B120" s="4">
        <v>45383</v>
      </c>
      <c r="C120" s="3" t="s">
        <v>11</v>
      </c>
      <c r="D120" s="3" t="s">
        <v>12</v>
      </c>
      <c r="E120" s="3" t="s">
        <v>13</v>
      </c>
      <c r="F120" s="3" t="s">
        <v>14</v>
      </c>
      <c r="G120" s="5">
        <v>4992.96</v>
      </c>
      <c r="H120" s="3" t="s">
        <v>15</v>
      </c>
      <c r="I120" s="3" t="s">
        <v>16</v>
      </c>
      <c r="J120" s="5">
        <v>23045.4</v>
      </c>
    </row>
    <row r="121" spans="1:10" x14ac:dyDescent="0.3">
      <c r="A121" s="3" t="s">
        <v>190</v>
      </c>
      <c r="B121" s="4">
        <v>45383</v>
      </c>
      <c r="C121" s="3" t="s">
        <v>11</v>
      </c>
      <c r="D121" s="3" t="s">
        <v>18</v>
      </c>
      <c r="E121" s="3" t="s">
        <v>19</v>
      </c>
      <c r="F121" s="3" t="s">
        <v>191</v>
      </c>
      <c r="G121" s="5">
        <v>1314.76</v>
      </c>
      <c r="H121" s="3" t="s">
        <v>21</v>
      </c>
      <c r="I121" s="3" t="s">
        <v>16</v>
      </c>
      <c r="J121" s="5">
        <v>21730.639999999999</v>
      </c>
    </row>
    <row r="122" spans="1:10" x14ac:dyDescent="0.3">
      <c r="A122" s="3" t="s">
        <v>192</v>
      </c>
      <c r="B122" s="4">
        <v>45383</v>
      </c>
      <c r="C122" s="3" t="s">
        <v>36</v>
      </c>
      <c r="D122" s="3" t="s">
        <v>18</v>
      </c>
      <c r="E122" s="3" t="s">
        <v>23</v>
      </c>
      <c r="F122" s="3" t="s">
        <v>37</v>
      </c>
      <c r="G122" s="5">
        <v>37.85</v>
      </c>
      <c r="H122" s="3" t="s">
        <v>30</v>
      </c>
      <c r="I122" s="3" t="s">
        <v>26</v>
      </c>
      <c r="J122" s="5">
        <v>21692.79</v>
      </c>
    </row>
    <row r="123" spans="1:10" x14ac:dyDescent="0.3">
      <c r="A123" s="3" t="s">
        <v>193</v>
      </c>
      <c r="B123" s="4">
        <v>45383</v>
      </c>
      <c r="C123" s="3" t="s">
        <v>11</v>
      </c>
      <c r="D123" s="3" t="s">
        <v>18</v>
      </c>
      <c r="E123" s="3" t="s">
        <v>39</v>
      </c>
      <c r="F123" s="3" t="s">
        <v>186</v>
      </c>
      <c r="G123" s="5">
        <v>89.04</v>
      </c>
      <c r="H123" s="3" t="s">
        <v>34</v>
      </c>
      <c r="I123" s="3" t="s">
        <v>26</v>
      </c>
      <c r="J123" s="5">
        <v>21603.75</v>
      </c>
    </row>
    <row r="124" spans="1:10" x14ac:dyDescent="0.3">
      <c r="A124" s="3" t="s">
        <v>194</v>
      </c>
      <c r="B124" s="4">
        <v>45384</v>
      </c>
      <c r="C124" s="3" t="s">
        <v>36</v>
      </c>
      <c r="D124" s="3" t="s">
        <v>18</v>
      </c>
      <c r="E124" s="3" t="s">
        <v>28</v>
      </c>
      <c r="F124" s="3" t="s">
        <v>114</v>
      </c>
      <c r="G124" s="5">
        <v>101.07</v>
      </c>
      <c r="H124" s="3" t="s">
        <v>30</v>
      </c>
      <c r="I124" s="3" t="s">
        <v>26</v>
      </c>
      <c r="J124" s="5">
        <v>21502.68</v>
      </c>
    </row>
    <row r="125" spans="1:10" x14ac:dyDescent="0.3">
      <c r="A125" s="3" t="s">
        <v>195</v>
      </c>
      <c r="B125" s="4">
        <v>45384</v>
      </c>
      <c r="C125" s="3" t="s">
        <v>11</v>
      </c>
      <c r="D125" s="3" t="s">
        <v>18</v>
      </c>
      <c r="E125" s="3" t="s">
        <v>23</v>
      </c>
      <c r="F125" s="3" t="s">
        <v>37</v>
      </c>
      <c r="G125" s="5">
        <v>76.13</v>
      </c>
      <c r="H125" s="3" t="s">
        <v>25</v>
      </c>
      <c r="I125" s="3" t="s">
        <v>26</v>
      </c>
      <c r="J125" s="5">
        <v>21426.55</v>
      </c>
    </row>
    <row r="126" spans="1:10" x14ac:dyDescent="0.3">
      <c r="A126" s="3" t="s">
        <v>196</v>
      </c>
      <c r="B126" s="4">
        <v>45386</v>
      </c>
      <c r="C126" s="3" t="s">
        <v>36</v>
      </c>
      <c r="D126" s="3" t="s">
        <v>18</v>
      </c>
      <c r="E126" s="3" t="s">
        <v>47</v>
      </c>
      <c r="F126" s="3" t="s">
        <v>56</v>
      </c>
      <c r="G126" s="5">
        <v>35.97</v>
      </c>
      <c r="H126" s="3" t="s">
        <v>34</v>
      </c>
      <c r="I126" s="3" t="s">
        <v>26</v>
      </c>
      <c r="J126" s="5">
        <v>21390.58</v>
      </c>
    </row>
    <row r="127" spans="1:10" x14ac:dyDescent="0.3">
      <c r="A127" s="3" t="s">
        <v>197</v>
      </c>
      <c r="B127" s="4">
        <v>45387</v>
      </c>
      <c r="C127" s="3" t="s">
        <v>11</v>
      </c>
      <c r="D127" s="3" t="s">
        <v>18</v>
      </c>
      <c r="E127" s="3" t="s">
        <v>43</v>
      </c>
      <c r="F127" s="3" t="s">
        <v>44</v>
      </c>
      <c r="G127" s="5">
        <v>184.76</v>
      </c>
      <c r="H127" s="3" t="s">
        <v>21</v>
      </c>
      <c r="I127" s="3" t="s">
        <v>16</v>
      </c>
      <c r="J127" s="5">
        <v>21205.82</v>
      </c>
    </row>
    <row r="128" spans="1:10" x14ac:dyDescent="0.3">
      <c r="A128" s="3" t="s">
        <v>198</v>
      </c>
      <c r="B128" s="4">
        <v>45387</v>
      </c>
      <c r="C128" s="3" t="s">
        <v>36</v>
      </c>
      <c r="D128" s="3" t="s">
        <v>18</v>
      </c>
      <c r="E128" s="3" t="s">
        <v>47</v>
      </c>
      <c r="F128" s="3" t="s">
        <v>82</v>
      </c>
      <c r="G128" s="5">
        <v>27.49</v>
      </c>
      <c r="H128" s="3" t="s">
        <v>25</v>
      </c>
      <c r="I128" s="3" t="s">
        <v>26</v>
      </c>
      <c r="J128" s="5">
        <v>21178.33</v>
      </c>
    </row>
    <row r="129" spans="1:10" x14ac:dyDescent="0.3">
      <c r="A129" s="3" t="s">
        <v>199</v>
      </c>
      <c r="B129" s="4">
        <v>45388</v>
      </c>
      <c r="C129" s="3" t="s">
        <v>11</v>
      </c>
      <c r="D129" s="3" t="s">
        <v>18</v>
      </c>
      <c r="E129" s="3" t="s">
        <v>43</v>
      </c>
      <c r="F129" s="3" t="s">
        <v>50</v>
      </c>
      <c r="G129" s="5">
        <v>79.47</v>
      </c>
      <c r="H129" s="3" t="s">
        <v>21</v>
      </c>
      <c r="I129" s="3" t="s">
        <v>16</v>
      </c>
      <c r="J129" s="5">
        <v>21098.86</v>
      </c>
    </row>
    <row r="130" spans="1:10" x14ac:dyDescent="0.3">
      <c r="A130" s="3" t="s">
        <v>200</v>
      </c>
      <c r="B130" s="4">
        <v>45388</v>
      </c>
      <c r="C130" s="3" t="s">
        <v>36</v>
      </c>
      <c r="D130" s="3" t="s">
        <v>18</v>
      </c>
      <c r="E130" s="3" t="s">
        <v>28</v>
      </c>
      <c r="F130" s="3" t="s">
        <v>29</v>
      </c>
      <c r="G130" s="5">
        <v>77.47</v>
      </c>
      <c r="H130" s="3" t="s">
        <v>34</v>
      </c>
      <c r="I130" s="3" t="s">
        <v>26</v>
      </c>
      <c r="J130" s="5">
        <v>21021.39</v>
      </c>
    </row>
    <row r="131" spans="1:10" x14ac:dyDescent="0.3">
      <c r="A131" s="3" t="s">
        <v>201</v>
      </c>
      <c r="B131" s="4">
        <v>45388</v>
      </c>
      <c r="C131" s="3" t="s">
        <v>36</v>
      </c>
      <c r="D131" s="3" t="s">
        <v>18</v>
      </c>
      <c r="E131" s="3" t="s">
        <v>47</v>
      </c>
      <c r="F131" s="3" t="s">
        <v>69</v>
      </c>
      <c r="G131" s="5">
        <v>54.76</v>
      </c>
      <c r="H131" s="3" t="s">
        <v>34</v>
      </c>
      <c r="I131" s="3" t="s">
        <v>26</v>
      </c>
      <c r="J131" s="5">
        <v>20966.63</v>
      </c>
    </row>
    <row r="132" spans="1:10" x14ac:dyDescent="0.3">
      <c r="A132" s="3" t="s">
        <v>202</v>
      </c>
      <c r="B132" s="4">
        <v>45388</v>
      </c>
      <c r="C132" s="3" t="s">
        <v>36</v>
      </c>
      <c r="D132" s="3" t="s">
        <v>18</v>
      </c>
      <c r="E132" s="3" t="s">
        <v>39</v>
      </c>
      <c r="F132" s="3" t="s">
        <v>186</v>
      </c>
      <c r="G132" s="5">
        <v>35.58</v>
      </c>
      <c r="H132" s="3" t="s">
        <v>34</v>
      </c>
      <c r="I132" s="3" t="s">
        <v>26</v>
      </c>
      <c r="J132" s="5">
        <v>20931.05</v>
      </c>
    </row>
    <row r="133" spans="1:10" x14ac:dyDescent="0.3">
      <c r="A133" s="3" t="s">
        <v>203</v>
      </c>
      <c r="B133" s="4">
        <v>45389</v>
      </c>
      <c r="C133" s="3" t="s">
        <v>36</v>
      </c>
      <c r="D133" s="3" t="s">
        <v>18</v>
      </c>
      <c r="E133" s="3" t="s">
        <v>43</v>
      </c>
      <c r="F133" s="3" t="s">
        <v>103</v>
      </c>
      <c r="G133" s="5">
        <v>242.72</v>
      </c>
      <c r="H133" s="3" t="s">
        <v>21</v>
      </c>
      <c r="I133" s="3" t="s">
        <v>16</v>
      </c>
      <c r="J133" s="5">
        <v>20688.330000000002</v>
      </c>
    </row>
    <row r="134" spans="1:10" x14ac:dyDescent="0.3">
      <c r="A134" s="3" t="s">
        <v>204</v>
      </c>
      <c r="B134" s="4">
        <v>45389</v>
      </c>
      <c r="C134" s="3" t="s">
        <v>11</v>
      </c>
      <c r="D134" s="3" t="s">
        <v>18</v>
      </c>
      <c r="E134" s="3" t="s">
        <v>28</v>
      </c>
      <c r="F134" s="3" t="s">
        <v>29</v>
      </c>
      <c r="G134" s="5">
        <v>152.11000000000001</v>
      </c>
      <c r="H134" s="3" t="s">
        <v>30</v>
      </c>
      <c r="I134" s="3" t="s">
        <v>26</v>
      </c>
      <c r="J134" s="5">
        <v>20536.22</v>
      </c>
    </row>
    <row r="135" spans="1:10" x14ac:dyDescent="0.3">
      <c r="A135" s="3" t="s">
        <v>205</v>
      </c>
      <c r="B135" s="4">
        <v>45390</v>
      </c>
      <c r="C135" s="3" t="s">
        <v>11</v>
      </c>
      <c r="D135" s="3" t="s">
        <v>18</v>
      </c>
      <c r="E135" s="3" t="s">
        <v>47</v>
      </c>
      <c r="F135" s="3" t="s">
        <v>56</v>
      </c>
      <c r="G135" s="5">
        <v>42.64</v>
      </c>
      <c r="H135" s="3" t="s">
        <v>34</v>
      </c>
      <c r="I135" s="3" t="s">
        <v>26</v>
      </c>
      <c r="J135" s="5">
        <v>20493.580000000002</v>
      </c>
    </row>
    <row r="136" spans="1:10" x14ac:dyDescent="0.3">
      <c r="A136" s="3" t="s">
        <v>206</v>
      </c>
      <c r="B136" s="4">
        <v>45391</v>
      </c>
      <c r="C136" s="3" t="s">
        <v>36</v>
      </c>
      <c r="D136" s="3" t="s">
        <v>18</v>
      </c>
      <c r="E136" s="3" t="s">
        <v>23</v>
      </c>
      <c r="F136" s="3" t="s">
        <v>24</v>
      </c>
      <c r="G136" s="5">
        <v>54.1</v>
      </c>
      <c r="H136" s="3" t="s">
        <v>25</v>
      </c>
      <c r="I136" s="3" t="s">
        <v>26</v>
      </c>
      <c r="J136" s="5">
        <v>20439.48</v>
      </c>
    </row>
    <row r="137" spans="1:10" x14ac:dyDescent="0.3">
      <c r="A137" s="3" t="s">
        <v>207</v>
      </c>
      <c r="B137" s="4">
        <v>45391</v>
      </c>
      <c r="C137" s="3" t="s">
        <v>36</v>
      </c>
      <c r="D137" s="3" t="s">
        <v>18</v>
      </c>
      <c r="E137" s="3" t="s">
        <v>47</v>
      </c>
      <c r="F137" s="3" t="s">
        <v>60</v>
      </c>
      <c r="G137" s="5">
        <v>54.2</v>
      </c>
      <c r="H137" s="3" t="s">
        <v>30</v>
      </c>
      <c r="I137" s="3" t="s">
        <v>26</v>
      </c>
      <c r="J137" s="5">
        <v>20385.28</v>
      </c>
    </row>
    <row r="138" spans="1:10" x14ac:dyDescent="0.3">
      <c r="A138" s="3" t="s">
        <v>208</v>
      </c>
      <c r="B138" s="4">
        <v>45392</v>
      </c>
      <c r="C138" s="3" t="s">
        <v>11</v>
      </c>
      <c r="D138" s="3" t="s">
        <v>18</v>
      </c>
      <c r="E138" s="3" t="s">
        <v>28</v>
      </c>
      <c r="F138" s="3" t="s">
        <v>117</v>
      </c>
      <c r="G138" s="5">
        <v>45.63</v>
      </c>
      <c r="H138" s="3" t="s">
        <v>30</v>
      </c>
      <c r="I138" s="3" t="s">
        <v>26</v>
      </c>
      <c r="J138" s="5">
        <v>20339.650000000001</v>
      </c>
    </row>
    <row r="139" spans="1:10" x14ac:dyDescent="0.3">
      <c r="A139" s="3" t="s">
        <v>209</v>
      </c>
      <c r="B139" s="4">
        <v>45393</v>
      </c>
      <c r="C139" s="3" t="s">
        <v>11</v>
      </c>
      <c r="D139" s="3" t="s">
        <v>12</v>
      </c>
      <c r="E139" s="3" t="s">
        <v>108</v>
      </c>
      <c r="F139" s="3" t="s">
        <v>127</v>
      </c>
      <c r="G139" s="5">
        <v>713.12</v>
      </c>
      <c r="H139" s="3" t="s">
        <v>110</v>
      </c>
      <c r="I139" s="3" t="s">
        <v>26</v>
      </c>
      <c r="J139" s="5">
        <v>21052.77</v>
      </c>
    </row>
    <row r="140" spans="1:10" x14ac:dyDescent="0.3">
      <c r="A140" s="3" t="s">
        <v>210</v>
      </c>
      <c r="B140" s="4">
        <v>45395</v>
      </c>
      <c r="C140" s="3" t="s">
        <v>11</v>
      </c>
      <c r="D140" s="3" t="s">
        <v>18</v>
      </c>
      <c r="E140" s="3" t="s">
        <v>28</v>
      </c>
      <c r="F140" s="3" t="s">
        <v>114</v>
      </c>
      <c r="G140" s="5">
        <v>158.47999999999999</v>
      </c>
      <c r="H140" s="3" t="s">
        <v>30</v>
      </c>
      <c r="I140" s="3" t="s">
        <v>26</v>
      </c>
      <c r="J140" s="5">
        <v>20894.29</v>
      </c>
    </row>
    <row r="141" spans="1:10" x14ac:dyDescent="0.3">
      <c r="A141" s="3" t="s">
        <v>211</v>
      </c>
      <c r="B141" s="4">
        <v>45395</v>
      </c>
      <c r="C141" s="3" t="s">
        <v>36</v>
      </c>
      <c r="D141" s="3" t="s">
        <v>18</v>
      </c>
      <c r="E141" s="3" t="s">
        <v>23</v>
      </c>
      <c r="F141" s="3" t="s">
        <v>54</v>
      </c>
      <c r="G141" s="5">
        <v>31.37</v>
      </c>
      <c r="H141" s="3" t="s">
        <v>25</v>
      </c>
      <c r="I141" s="3" t="s">
        <v>26</v>
      </c>
      <c r="J141" s="5">
        <v>20862.919999999998</v>
      </c>
    </row>
    <row r="142" spans="1:10" x14ac:dyDescent="0.3">
      <c r="A142" s="3" t="s">
        <v>212</v>
      </c>
      <c r="B142" s="4">
        <v>45396</v>
      </c>
      <c r="C142" s="3" t="s">
        <v>36</v>
      </c>
      <c r="D142" s="3" t="s">
        <v>18</v>
      </c>
      <c r="E142" s="3" t="s">
        <v>28</v>
      </c>
      <c r="F142" s="3" t="s">
        <v>52</v>
      </c>
      <c r="G142" s="5">
        <v>94.14</v>
      </c>
      <c r="H142" s="3" t="s">
        <v>30</v>
      </c>
      <c r="I142" s="3" t="s">
        <v>26</v>
      </c>
      <c r="J142" s="5">
        <v>20768.78</v>
      </c>
    </row>
    <row r="143" spans="1:10" x14ac:dyDescent="0.3">
      <c r="A143" s="3" t="s">
        <v>213</v>
      </c>
      <c r="B143" s="4">
        <v>45396</v>
      </c>
      <c r="C143" s="3" t="s">
        <v>11</v>
      </c>
      <c r="D143" s="3" t="s">
        <v>18</v>
      </c>
      <c r="E143" s="3" t="s">
        <v>23</v>
      </c>
      <c r="F143" s="3" t="s">
        <v>124</v>
      </c>
      <c r="G143" s="5">
        <v>72.98</v>
      </c>
      <c r="H143" s="3" t="s">
        <v>30</v>
      </c>
      <c r="I143" s="3" t="s">
        <v>26</v>
      </c>
      <c r="J143" s="5">
        <v>20695.8</v>
      </c>
    </row>
    <row r="144" spans="1:10" x14ac:dyDescent="0.3">
      <c r="A144" s="3" t="s">
        <v>214</v>
      </c>
      <c r="B144" s="4">
        <v>45396</v>
      </c>
      <c r="C144" s="3" t="s">
        <v>36</v>
      </c>
      <c r="D144" s="3" t="s">
        <v>18</v>
      </c>
      <c r="E144" s="3" t="s">
        <v>47</v>
      </c>
      <c r="F144" s="3" t="s">
        <v>106</v>
      </c>
      <c r="G144" s="5">
        <v>17.09</v>
      </c>
      <c r="H144" s="3" t="s">
        <v>34</v>
      </c>
      <c r="I144" s="3" t="s">
        <v>26</v>
      </c>
      <c r="J144" s="5">
        <v>20678.71</v>
      </c>
    </row>
    <row r="145" spans="1:10" x14ac:dyDescent="0.3">
      <c r="A145" s="3" t="s">
        <v>215</v>
      </c>
      <c r="B145" s="4">
        <v>45397</v>
      </c>
      <c r="C145" s="3" t="s">
        <v>11</v>
      </c>
      <c r="D145" s="3" t="s">
        <v>18</v>
      </c>
      <c r="E145" s="3" t="s">
        <v>28</v>
      </c>
      <c r="F145" s="3" t="s">
        <v>117</v>
      </c>
      <c r="G145" s="5">
        <v>87.53</v>
      </c>
      <c r="H145" s="3" t="s">
        <v>34</v>
      </c>
      <c r="I145" s="3" t="s">
        <v>26</v>
      </c>
      <c r="J145" s="5">
        <v>20591.18</v>
      </c>
    </row>
    <row r="146" spans="1:10" x14ac:dyDescent="0.3">
      <c r="A146" s="3" t="s">
        <v>216</v>
      </c>
      <c r="B146" s="4">
        <v>45397</v>
      </c>
      <c r="C146" s="3" t="s">
        <v>36</v>
      </c>
      <c r="D146" s="3" t="s">
        <v>18</v>
      </c>
      <c r="E146" s="3" t="s">
        <v>47</v>
      </c>
      <c r="F146" s="3" t="s">
        <v>69</v>
      </c>
      <c r="G146" s="5">
        <v>45.97</v>
      </c>
      <c r="H146" s="3" t="s">
        <v>34</v>
      </c>
      <c r="I146" s="3" t="s">
        <v>26</v>
      </c>
      <c r="J146" s="5">
        <v>20545.21</v>
      </c>
    </row>
    <row r="147" spans="1:10" x14ac:dyDescent="0.3">
      <c r="A147" s="3" t="s">
        <v>217</v>
      </c>
      <c r="B147" s="4">
        <v>45397</v>
      </c>
      <c r="C147" s="3" t="s">
        <v>11</v>
      </c>
      <c r="D147" s="3" t="s">
        <v>18</v>
      </c>
      <c r="E147" s="3" t="s">
        <v>39</v>
      </c>
      <c r="F147" s="3" t="s">
        <v>156</v>
      </c>
      <c r="G147" s="5">
        <v>20.45</v>
      </c>
      <c r="H147" s="3" t="s">
        <v>30</v>
      </c>
      <c r="I147" s="3" t="s">
        <v>26</v>
      </c>
      <c r="J147" s="5">
        <v>20524.759999999998</v>
      </c>
    </row>
    <row r="148" spans="1:10" x14ac:dyDescent="0.3">
      <c r="A148" s="3" t="s">
        <v>218</v>
      </c>
      <c r="B148" s="4">
        <v>45398</v>
      </c>
      <c r="C148" s="3" t="s">
        <v>11</v>
      </c>
      <c r="D148" s="3" t="s">
        <v>18</v>
      </c>
      <c r="E148" s="3" t="s">
        <v>28</v>
      </c>
      <c r="F148" s="3" t="s">
        <v>117</v>
      </c>
      <c r="G148" s="5">
        <v>95.98</v>
      </c>
      <c r="H148" s="3" t="s">
        <v>34</v>
      </c>
      <c r="I148" s="3" t="s">
        <v>26</v>
      </c>
      <c r="J148" s="5">
        <v>20428.78</v>
      </c>
    </row>
    <row r="149" spans="1:10" x14ac:dyDescent="0.3">
      <c r="A149" s="3" t="s">
        <v>219</v>
      </c>
      <c r="B149" s="4">
        <v>45399</v>
      </c>
      <c r="C149" s="3" t="s">
        <v>11</v>
      </c>
      <c r="D149" s="3" t="s">
        <v>18</v>
      </c>
      <c r="E149" s="3" t="s">
        <v>28</v>
      </c>
      <c r="F149" s="3" t="s">
        <v>52</v>
      </c>
      <c r="G149" s="5">
        <v>79.77</v>
      </c>
      <c r="H149" s="3" t="s">
        <v>34</v>
      </c>
      <c r="I149" s="3" t="s">
        <v>26</v>
      </c>
      <c r="J149" s="5">
        <v>20349.009999999998</v>
      </c>
    </row>
    <row r="150" spans="1:10" x14ac:dyDescent="0.3">
      <c r="A150" s="3" t="s">
        <v>220</v>
      </c>
      <c r="B150" s="4">
        <v>45399</v>
      </c>
      <c r="C150" s="3" t="s">
        <v>36</v>
      </c>
      <c r="D150" s="3" t="s">
        <v>18</v>
      </c>
      <c r="E150" s="3" t="s">
        <v>47</v>
      </c>
      <c r="F150" s="3" t="s">
        <v>48</v>
      </c>
      <c r="G150" s="5">
        <v>30.5</v>
      </c>
      <c r="H150" s="3" t="s">
        <v>25</v>
      </c>
      <c r="I150" s="3" t="s">
        <v>26</v>
      </c>
      <c r="J150" s="5">
        <v>20318.509999999998</v>
      </c>
    </row>
    <row r="151" spans="1:10" x14ac:dyDescent="0.3">
      <c r="A151" s="3" t="s">
        <v>221</v>
      </c>
      <c r="B151" s="4">
        <v>45400</v>
      </c>
      <c r="C151" s="3" t="s">
        <v>11</v>
      </c>
      <c r="D151" s="3" t="s">
        <v>18</v>
      </c>
      <c r="E151" s="3" t="s">
        <v>23</v>
      </c>
      <c r="F151" s="3" t="s">
        <v>54</v>
      </c>
      <c r="G151" s="5">
        <v>9.66</v>
      </c>
      <c r="H151" s="3" t="s">
        <v>34</v>
      </c>
      <c r="I151" s="3" t="s">
        <v>26</v>
      </c>
      <c r="J151" s="5">
        <v>20308.849999999999</v>
      </c>
    </row>
    <row r="152" spans="1:10" x14ac:dyDescent="0.3">
      <c r="A152" s="3" t="s">
        <v>222</v>
      </c>
      <c r="B152" s="4">
        <v>45400</v>
      </c>
      <c r="C152" s="3" t="s">
        <v>36</v>
      </c>
      <c r="D152" s="3" t="s">
        <v>18</v>
      </c>
      <c r="E152" s="3" t="s">
        <v>47</v>
      </c>
      <c r="F152" s="3" t="s">
        <v>106</v>
      </c>
      <c r="G152" s="5">
        <v>54.11</v>
      </c>
      <c r="H152" s="3" t="s">
        <v>34</v>
      </c>
      <c r="I152" s="3" t="s">
        <v>26</v>
      </c>
      <c r="J152" s="5">
        <v>20254.740000000002</v>
      </c>
    </row>
    <row r="153" spans="1:10" x14ac:dyDescent="0.3">
      <c r="A153" s="3" t="s">
        <v>223</v>
      </c>
      <c r="B153" s="4">
        <v>45401</v>
      </c>
      <c r="C153" s="3" t="s">
        <v>11</v>
      </c>
      <c r="D153" s="3" t="s">
        <v>18</v>
      </c>
      <c r="E153" s="3" t="s">
        <v>47</v>
      </c>
      <c r="F153" s="3" t="s">
        <v>82</v>
      </c>
      <c r="G153" s="5">
        <v>45.95</v>
      </c>
      <c r="H153" s="3" t="s">
        <v>25</v>
      </c>
      <c r="I153" s="3" t="s">
        <v>26</v>
      </c>
      <c r="J153" s="5">
        <v>20208.79</v>
      </c>
    </row>
    <row r="154" spans="1:10" x14ac:dyDescent="0.3">
      <c r="A154" s="3" t="s">
        <v>224</v>
      </c>
      <c r="B154" s="4">
        <v>45402</v>
      </c>
      <c r="C154" s="3" t="s">
        <v>11</v>
      </c>
      <c r="D154" s="3" t="s">
        <v>18</v>
      </c>
      <c r="E154" s="3" t="s">
        <v>47</v>
      </c>
      <c r="F154" s="3" t="s">
        <v>56</v>
      </c>
      <c r="G154" s="5">
        <v>34.4</v>
      </c>
      <c r="H154" s="3" t="s">
        <v>34</v>
      </c>
      <c r="I154" s="3" t="s">
        <v>26</v>
      </c>
      <c r="J154" s="5">
        <v>20174.39</v>
      </c>
    </row>
    <row r="155" spans="1:10" x14ac:dyDescent="0.3">
      <c r="A155" s="3" t="s">
        <v>225</v>
      </c>
      <c r="B155" s="4">
        <v>45403</v>
      </c>
      <c r="C155" s="3" t="s">
        <v>36</v>
      </c>
      <c r="D155" s="3" t="s">
        <v>18</v>
      </c>
      <c r="E155" s="3" t="s">
        <v>28</v>
      </c>
      <c r="F155" s="3" t="s">
        <v>114</v>
      </c>
      <c r="G155" s="5">
        <v>33.049999999999997</v>
      </c>
      <c r="H155" s="3" t="s">
        <v>34</v>
      </c>
      <c r="I155" s="3" t="s">
        <v>26</v>
      </c>
      <c r="J155" s="5">
        <v>20141.34</v>
      </c>
    </row>
    <row r="156" spans="1:10" x14ac:dyDescent="0.3">
      <c r="A156" s="3" t="s">
        <v>226</v>
      </c>
      <c r="B156" s="4">
        <v>45403</v>
      </c>
      <c r="C156" s="3" t="s">
        <v>36</v>
      </c>
      <c r="D156" s="3" t="s">
        <v>18</v>
      </c>
      <c r="E156" s="3" t="s">
        <v>23</v>
      </c>
      <c r="F156" s="3" t="s">
        <v>135</v>
      </c>
      <c r="G156" s="5">
        <v>70.91</v>
      </c>
      <c r="H156" s="3" t="s">
        <v>30</v>
      </c>
      <c r="I156" s="3" t="s">
        <v>26</v>
      </c>
      <c r="J156" s="5">
        <v>20070.43</v>
      </c>
    </row>
    <row r="157" spans="1:10" x14ac:dyDescent="0.3">
      <c r="A157" s="3" t="s">
        <v>227</v>
      </c>
      <c r="B157" s="4">
        <v>45404</v>
      </c>
      <c r="C157" s="3" t="s">
        <v>11</v>
      </c>
      <c r="D157" s="3" t="s">
        <v>18</v>
      </c>
      <c r="E157" s="3" t="s">
        <v>23</v>
      </c>
      <c r="F157" s="3" t="s">
        <v>98</v>
      </c>
      <c r="G157" s="5">
        <v>75.19</v>
      </c>
      <c r="H157" s="3" t="s">
        <v>25</v>
      </c>
      <c r="I157" s="3" t="s">
        <v>26</v>
      </c>
      <c r="J157" s="5">
        <v>19995.240000000002</v>
      </c>
    </row>
    <row r="158" spans="1:10" x14ac:dyDescent="0.3">
      <c r="A158" s="3" t="s">
        <v>228</v>
      </c>
      <c r="B158" s="4">
        <v>45406</v>
      </c>
      <c r="C158" s="3" t="s">
        <v>36</v>
      </c>
      <c r="D158" s="3" t="s">
        <v>18</v>
      </c>
      <c r="E158" s="3" t="s">
        <v>23</v>
      </c>
      <c r="F158" s="3" t="s">
        <v>87</v>
      </c>
      <c r="G158" s="5">
        <v>74.709999999999994</v>
      </c>
      <c r="H158" s="3" t="s">
        <v>30</v>
      </c>
      <c r="I158" s="3" t="s">
        <v>26</v>
      </c>
      <c r="J158" s="5">
        <v>19920.53</v>
      </c>
    </row>
    <row r="159" spans="1:10" x14ac:dyDescent="0.3">
      <c r="A159" s="3" t="s">
        <v>229</v>
      </c>
      <c r="B159" s="4">
        <v>45406</v>
      </c>
      <c r="C159" s="3" t="s">
        <v>36</v>
      </c>
      <c r="D159" s="3" t="s">
        <v>18</v>
      </c>
      <c r="E159" s="3" t="s">
        <v>47</v>
      </c>
      <c r="F159" s="3" t="s">
        <v>69</v>
      </c>
      <c r="G159" s="5">
        <v>30.43</v>
      </c>
      <c r="H159" s="3" t="s">
        <v>25</v>
      </c>
      <c r="I159" s="3" t="s">
        <v>26</v>
      </c>
      <c r="J159" s="5">
        <v>19890.099999999999</v>
      </c>
    </row>
    <row r="160" spans="1:10" x14ac:dyDescent="0.3">
      <c r="A160" s="3" t="s">
        <v>230</v>
      </c>
      <c r="B160" s="4">
        <v>45406</v>
      </c>
      <c r="C160" s="3" t="s">
        <v>11</v>
      </c>
      <c r="D160" s="3" t="s">
        <v>18</v>
      </c>
      <c r="E160" s="3" t="s">
        <v>39</v>
      </c>
      <c r="F160" s="3" t="s">
        <v>156</v>
      </c>
      <c r="G160" s="5">
        <v>32.44</v>
      </c>
      <c r="H160" s="3" t="s">
        <v>30</v>
      </c>
      <c r="I160" s="3" t="s">
        <v>26</v>
      </c>
      <c r="J160" s="5">
        <v>19857.66</v>
      </c>
    </row>
    <row r="161" spans="1:10" x14ac:dyDescent="0.3">
      <c r="A161" s="3" t="s">
        <v>231</v>
      </c>
      <c r="B161" s="4">
        <v>45407</v>
      </c>
      <c r="C161" s="3" t="s">
        <v>36</v>
      </c>
      <c r="D161" s="3" t="s">
        <v>18</v>
      </c>
      <c r="E161" s="3" t="s">
        <v>23</v>
      </c>
      <c r="F161" s="3" t="s">
        <v>124</v>
      </c>
      <c r="G161" s="5">
        <v>8.4700000000000006</v>
      </c>
      <c r="H161" s="3" t="s">
        <v>30</v>
      </c>
      <c r="I161" s="3" t="s">
        <v>26</v>
      </c>
      <c r="J161" s="5">
        <v>19849.189999999999</v>
      </c>
    </row>
    <row r="162" spans="1:10" x14ac:dyDescent="0.3">
      <c r="A162" s="3" t="s">
        <v>232</v>
      </c>
      <c r="B162" s="4">
        <v>45408</v>
      </c>
      <c r="C162" s="3" t="s">
        <v>11</v>
      </c>
      <c r="D162" s="3" t="s">
        <v>18</v>
      </c>
      <c r="E162" s="3" t="s">
        <v>47</v>
      </c>
      <c r="F162" s="3" t="s">
        <v>60</v>
      </c>
      <c r="G162" s="5">
        <v>30.97</v>
      </c>
      <c r="H162" s="3" t="s">
        <v>25</v>
      </c>
      <c r="I162" s="3" t="s">
        <v>26</v>
      </c>
      <c r="J162" s="5">
        <v>19818.22</v>
      </c>
    </row>
    <row r="163" spans="1:10" x14ac:dyDescent="0.3">
      <c r="A163" s="3" t="s">
        <v>233</v>
      </c>
      <c r="B163" s="4">
        <v>45409</v>
      </c>
      <c r="C163" s="3" t="s">
        <v>11</v>
      </c>
      <c r="D163" s="3" t="s">
        <v>18</v>
      </c>
      <c r="E163" s="3" t="s">
        <v>23</v>
      </c>
      <c r="F163" s="3" t="s">
        <v>54</v>
      </c>
      <c r="G163" s="5">
        <v>39.81</v>
      </c>
      <c r="H163" s="3" t="s">
        <v>30</v>
      </c>
      <c r="I163" s="3" t="s">
        <v>26</v>
      </c>
      <c r="J163" s="5">
        <v>19778.41</v>
      </c>
    </row>
    <row r="164" spans="1:10" x14ac:dyDescent="0.3">
      <c r="A164" s="3" t="s">
        <v>234</v>
      </c>
      <c r="B164" s="4">
        <v>45410</v>
      </c>
      <c r="C164" s="3" t="s">
        <v>11</v>
      </c>
      <c r="D164" s="3" t="s">
        <v>18</v>
      </c>
      <c r="E164" s="3" t="s">
        <v>28</v>
      </c>
      <c r="F164" s="3" t="s">
        <v>52</v>
      </c>
      <c r="G164" s="5">
        <v>62.83</v>
      </c>
      <c r="H164" s="3" t="s">
        <v>30</v>
      </c>
      <c r="I164" s="3" t="s">
        <v>26</v>
      </c>
      <c r="J164" s="5">
        <v>19715.580000000002</v>
      </c>
    </row>
    <row r="165" spans="1:10" x14ac:dyDescent="0.3">
      <c r="A165" s="3" t="s">
        <v>235</v>
      </c>
      <c r="B165" s="4">
        <v>45410</v>
      </c>
      <c r="C165" s="3" t="s">
        <v>11</v>
      </c>
      <c r="D165" s="3" t="s">
        <v>18</v>
      </c>
      <c r="E165" s="3" t="s">
        <v>47</v>
      </c>
      <c r="F165" s="3" t="s">
        <v>48</v>
      </c>
      <c r="G165" s="5">
        <v>43.09</v>
      </c>
      <c r="H165" s="3" t="s">
        <v>25</v>
      </c>
      <c r="I165" s="3" t="s">
        <v>26</v>
      </c>
      <c r="J165" s="5">
        <v>19672.490000000002</v>
      </c>
    </row>
    <row r="166" spans="1:10" x14ac:dyDescent="0.3">
      <c r="A166" s="3" t="s">
        <v>236</v>
      </c>
      <c r="B166" s="4">
        <v>45412</v>
      </c>
      <c r="C166" s="3" t="s">
        <v>126</v>
      </c>
      <c r="D166" s="3" t="s">
        <v>12</v>
      </c>
      <c r="E166" s="3" t="s">
        <v>108</v>
      </c>
      <c r="F166" s="3" t="s">
        <v>109</v>
      </c>
      <c r="G166" s="5">
        <v>591.95000000000005</v>
      </c>
      <c r="H166" s="3" t="s">
        <v>110</v>
      </c>
      <c r="I166" s="3" t="s">
        <v>26</v>
      </c>
      <c r="J166" s="5">
        <v>20264.439999999999</v>
      </c>
    </row>
    <row r="167" spans="1:10" x14ac:dyDescent="0.3">
      <c r="A167" s="3" t="s">
        <v>237</v>
      </c>
      <c r="B167" s="4">
        <v>45412</v>
      </c>
      <c r="C167" s="3" t="s">
        <v>11</v>
      </c>
      <c r="D167" s="3" t="s">
        <v>18</v>
      </c>
      <c r="E167" s="3" t="s">
        <v>39</v>
      </c>
      <c r="F167" s="3" t="s">
        <v>186</v>
      </c>
      <c r="G167" s="5">
        <v>48.82</v>
      </c>
      <c r="H167" s="3" t="s">
        <v>34</v>
      </c>
      <c r="I167" s="3" t="s">
        <v>26</v>
      </c>
      <c r="J167" s="5">
        <v>20215.62</v>
      </c>
    </row>
    <row r="168" spans="1:10" x14ac:dyDescent="0.3">
      <c r="A168" s="3" t="s">
        <v>238</v>
      </c>
      <c r="B168" s="4">
        <v>45413</v>
      </c>
      <c r="C168" s="3" t="s">
        <v>11</v>
      </c>
      <c r="D168" s="3" t="s">
        <v>12</v>
      </c>
      <c r="E168" s="3" t="s">
        <v>13</v>
      </c>
      <c r="F168" s="3" t="s">
        <v>239</v>
      </c>
      <c r="G168" s="5">
        <v>4234.45</v>
      </c>
      <c r="H168" s="3" t="s">
        <v>15</v>
      </c>
      <c r="I168" s="3" t="s">
        <v>16</v>
      </c>
      <c r="J168" s="5">
        <v>24450.07</v>
      </c>
    </row>
    <row r="169" spans="1:10" x14ac:dyDescent="0.3">
      <c r="A169" s="3" t="s">
        <v>240</v>
      </c>
      <c r="B169" s="4">
        <v>45413</v>
      </c>
      <c r="C169" s="3" t="s">
        <v>11</v>
      </c>
      <c r="D169" s="3" t="s">
        <v>18</v>
      </c>
      <c r="E169" s="3" t="s">
        <v>19</v>
      </c>
      <c r="F169" s="3" t="s">
        <v>20</v>
      </c>
      <c r="G169" s="5">
        <v>1260.8900000000001</v>
      </c>
      <c r="H169" s="3" t="s">
        <v>21</v>
      </c>
      <c r="I169" s="3" t="s">
        <v>16</v>
      </c>
      <c r="J169" s="5">
        <v>23189.18</v>
      </c>
    </row>
    <row r="170" spans="1:10" x14ac:dyDescent="0.3">
      <c r="A170" s="3" t="s">
        <v>241</v>
      </c>
      <c r="B170" s="4">
        <v>45413</v>
      </c>
      <c r="C170" s="3" t="s">
        <v>11</v>
      </c>
      <c r="D170" s="3" t="s">
        <v>18</v>
      </c>
      <c r="E170" s="3" t="s">
        <v>28</v>
      </c>
      <c r="F170" s="3" t="s">
        <v>114</v>
      </c>
      <c r="G170" s="5">
        <v>34.56</v>
      </c>
      <c r="H170" s="3" t="s">
        <v>30</v>
      </c>
      <c r="I170" s="3" t="s">
        <v>26</v>
      </c>
      <c r="J170" s="5">
        <v>23154.62</v>
      </c>
    </row>
    <row r="171" spans="1:10" x14ac:dyDescent="0.3">
      <c r="A171" s="3" t="s">
        <v>242</v>
      </c>
      <c r="B171" s="4">
        <v>45414</v>
      </c>
      <c r="C171" s="3" t="s">
        <v>36</v>
      </c>
      <c r="D171" s="3" t="s">
        <v>18</v>
      </c>
      <c r="E171" s="3" t="s">
        <v>23</v>
      </c>
      <c r="F171" s="3" t="s">
        <v>76</v>
      </c>
      <c r="G171" s="5">
        <v>25.91</v>
      </c>
      <c r="H171" s="3" t="s">
        <v>30</v>
      </c>
      <c r="I171" s="3" t="s">
        <v>26</v>
      </c>
      <c r="J171" s="5">
        <v>23128.71</v>
      </c>
    </row>
    <row r="172" spans="1:10" x14ac:dyDescent="0.3">
      <c r="A172" s="3" t="s">
        <v>243</v>
      </c>
      <c r="B172" s="4">
        <v>45416</v>
      </c>
      <c r="C172" s="3" t="s">
        <v>36</v>
      </c>
      <c r="D172" s="3" t="s">
        <v>18</v>
      </c>
      <c r="E172" s="3" t="s">
        <v>23</v>
      </c>
      <c r="F172" s="3" t="s">
        <v>54</v>
      </c>
      <c r="G172" s="5">
        <v>16.57</v>
      </c>
      <c r="H172" s="3" t="s">
        <v>30</v>
      </c>
      <c r="I172" s="3" t="s">
        <v>26</v>
      </c>
      <c r="J172" s="5">
        <v>23112.14</v>
      </c>
    </row>
    <row r="173" spans="1:10" x14ac:dyDescent="0.3">
      <c r="A173" s="3" t="s">
        <v>244</v>
      </c>
      <c r="B173" s="4">
        <v>45417</v>
      </c>
      <c r="C173" s="3" t="s">
        <v>11</v>
      </c>
      <c r="D173" s="3" t="s">
        <v>12</v>
      </c>
      <c r="E173" s="3" t="s">
        <v>108</v>
      </c>
      <c r="F173" s="3" t="s">
        <v>109</v>
      </c>
      <c r="G173" s="5">
        <v>940.98</v>
      </c>
      <c r="H173" s="3" t="s">
        <v>183</v>
      </c>
      <c r="I173" s="3" t="s">
        <v>26</v>
      </c>
      <c r="J173" s="5">
        <v>24053.119999999999</v>
      </c>
    </row>
    <row r="174" spans="1:10" x14ac:dyDescent="0.3">
      <c r="A174" s="3" t="s">
        <v>245</v>
      </c>
      <c r="B174" s="4">
        <v>45417</v>
      </c>
      <c r="C174" s="3" t="s">
        <v>36</v>
      </c>
      <c r="D174" s="3" t="s">
        <v>18</v>
      </c>
      <c r="E174" s="3" t="s">
        <v>43</v>
      </c>
      <c r="F174" s="3" t="s">
        <v>50</v>
      </c>
      <c r="G174" s="5">
        <v>136.25</v>
      </c>
      <c r="H174" s="3" t="s">
        <v>21</v>
      </c>
      <c r="I174" s="3" t="s">
        <v>16</v>
      </c>
      <c r="J174" s="5">
        <v>23916.87</v>
      </c>
    </row>
    <row r="175" spans="1:10" x14ac:dyDescent="0.3">
      <c r="A175" s="3" t="s">
        <v>246</v>
      </c>
      <c r="B175" s="4">
        <v>45417</v>
      </c>
      <c r="C175" s="3" t="s">
        <v>36</v>
      </c>
      <c r="D175" s="3" t="s">
        <v>18</v>
      </c>
      <c r="E175" s="3" t="s">
        <v>23</v>
      </c>
      <c r="F175" s="3" t="s">
        <v>87</v>
      </c>
      <c r="G175" s="5">
        <v>76.819999999999993</v>
      </c>
      <c r="H175" s="3" t="s">
        <v>30</v>
      </c>
      <c r="I175" s="3" t="s">
        <v>26</v>
      </c>
      <c r="J175" s="5">
        <v>23840.05</v>
      </c>
    </row>
    <row r="176" spans="1:10" x14ac:dyDescent="0.3">
      <c r="A176" s="3" t="s">
        <v>247</v>
      </c>
      <c r="B176" s="4">
        <v>45417</v>
      </c>
      <c r="C176" s="3" t="s">
        <v>36</v>
      </c>
      <c r="D176" s="3" t="s">
        <v>18</v>
      </c>
      <c r="E176" s="3" t="s">
        <v>39</v>
      </c>
      <c r="F176" s="3" t="s">
        <v>89</v>
      </c>
      <c r="G176" s="5">
        <v>31.9</v>
      </c>
      <c r="H176" s="3" t="s">
        <v>34</v>
      </c>
      <c r="I176" s="3" t="s">
        <v>26</v>
      </c>
      <c r="J176" s="5">
        <v>23808.15</v>
      </c>
    </row>
    <row r="177" spans="1:10" x14ac:dyDescent="0.3">
      <c r="A177" s="3" t="s">
        <v>248</v>
      </c>
      <c r="B177" s="4">
        <v>45418</v>
      </c>
      <c r="C177" s="3" t="s">
        <v>11</v>
      </c>
      <c r="D177" s="3" t="s">
        <v>18</v>
      </c>
      <c r="E177" s="3" t="s">
        <v>43</v>
      </c>
      <c r="F177" s="3" t="s">
        <v>44</v>
      </c>
      <c r="G177" s="5">
        <v>179.51</v>
      </c>
      <c r="H177" s="3" t="s">
        <v>21</v>
      </c>
      <c r="I177" s="3" t="s">
        <v>16</v>
      </c>
      <c r="J177" s="5">
        <v>23628.639999999999</v>
      </c>
    </row>
    <row r="178" spans="1:10" x14ac:dyDescent="0.3">
      <c r="A178" s="3" t="s">
        <v>249</v>
      </c>
      <c r="B178" s="4">
        <v>45418</v>
      </c>
      <c r="C178" s="3" t="s">
        <v>36</v>
      </c>
      <c r="D178" s="3" t="s">
        <v>18</v>
      </c>
      <c r="E178" s="3" t="s">
        <v>28</v>
      </c>
      <c r="F178" s="3" t="s">
        <v>79</v>
      </c>
      <c r="G178" s="5">
        <v>128.22999999999999</v>
      </c>
      <c r="H178" s="3" t="s">
        <v>30</v>
      </c>
      <c r="I178" s="3" t="s">
        <v>26</v>
      </c>
      <c r="J178" s="5">
        <v>23500.41</v>
      </c>
    </row>
    <row r="179" spans="1:10" x14ac:dyDescent="0.3">
      <c r="A179" s="3" t="s">
        <v>250</v>
      </c>
      <c r="B179" s="4">
        <v>45418</v>
      </c>
      <c r="C179" s="3" t="s">
        <v>36</v>
      </c>
      <c r="D179" s="3" t="s">
        <v>18</v>
      </c>
      <c r="E179" s="3" t="s">
        <v>23</v>
      </c>
      <c r="F179" s="3" t="s">
        <v>98</v>
      </c>
      <c r="G179" s="5">
        <v>59.81</v>
      </c>
      <c r="H179" s="3" t="s">
        <v>30</v>
      </c>
      <c r="I179" s="3" t="s">
        <v>26</v>
      </c>
      <c r="J179" s="5">
        <v>23440.6</v>
      </c>
    </row>
    <row r="180" spans="1:10" x14ac:dyDescent="0.3">
      <c r="A180" s="3" t="s">
        <v>251</v>
      </c>
      <c r="B180" s="4">
        <v>45419</v>
      </c>
      <c r="C180" s="3" t="s">
        <v>11</v>
      </c>
      <c r="D180" s="3" t="s">
        <v>18</v>
      </c>
      <c r="E180" s="3" t="s">
        <v>28</v>
      </c>
      <c r="F180" s="3" t="s">
        <v>29</v>
      </c>
      <c r="G180" s="5">
        <v>160.01</v>
      </c>
      <c r="H180" s="3" t="s">
        <v>34</v>
      </c>
      <c r="I180" s="3" t="s">
        <v>26</v>
      </c>
      <c r="J180" s="5">
        <v>23280.59</v>
      </c>
    </row>
    <row r="181" spans="1:10" x14ac:dyDescent="0.3">
      <c r="A181" s="3" t="s">
        <v>252</v>
      </c>
      <c r="B181" s="4">
        <v>45419</v>
      </c>
      <c r="C181" s="3" t="s">
        <v>11</v>
      </c>
      <c r="D181" s="3" t="s">
        <v>18</v>
      </c>
      <c r="E181" s="3" t="s">
        <v>47</v>
      </c>
      <c r="F181" s="3" t="s">
        <v>82</v>
      </c>
      <c r="G181" s="5">
        <v>11.79</v>
      </c>
      <c r="H181" s="3" t="s">
        <v>34</v>
      </c>
      <c r="I181" s="3" t="s">
        <v>26</v>
      </c>
      <c r="J181" s="5">
        <v>23268.799999999999</v>
      </c>
    </row>
    <row r="182" spans="1:10" x14ac:dyDescent="0.3">
      <c r="A182" s="3" t="s">
        <v>253</v>
      </c>
      <c r="B182" s="4">
        <v>45420</v>
      </c>
      <c r="C182" s="3" t="s">
        <v>11</v>
      </c>
      <c r="D182" s="3" t="s">
        <v>18</v>
      </c>
      <c r="E182" s="3" t="s">
        <v>28</v>
      </c>
      <c r="F182" s="3" t="s">
        <v>117</v>
      </c>
      <c r="G182" s="5">
        <v>164.89</v>
      </c>
      <c r="H182" s="3" t="s">
        <v>34</v>
      </c>
      <c r="I182" s="3" t="s">
        <v>26</v>
      </c>
      <c r="J182" s="5">
        <v>23103.91</v>
      </c>
    </row>
    <row r="183" spans="1:10" x14ac:dyDescent="0.3">
      <c r="A183" s="3" t="s">
        <v>254</v>
      </c>
      <c r="B183" s="4">
        <v>45420</v>
      </c>
      <c r="C183" s="3" t="s">
        <v>36</v>
      </c>
      <c r="D183" s="3" t="s">
        <v>18</v>
      </c>
      <c r="E183" s="3" t="s">
        <v>23</v>
      </c>
      <c r="F183" s="3" t="s">
        <v>32</v>
      </c>
      <c r="G183" s="5">
        <v>23.74</v>
      </c>
      <c r="H183" s="3" t="s">
        <v>34</v>
      </c>
      <c r="I183" s="3" t="s">
        <v>26</v>
      </c>
      <c r="J183" s="5">
        <v>23080.17</v>
      </c>
    </row>
    <row r="184" spans="1:10" x14ac:dyDescent="0.3">
      <c r="A184" s="3" t="s">
        <v>255</v>
      </c>
      <c r="B184" s="4">
        <v>45421</v>
      </c>
      <c r="C184" s="3" t="s">
        <v>36</v>
      </c>
      <c r="D184" s="3" t="s">
        <v>18</v>
      </c>
      <c r="E184" s="3" t="s">
        <v>47</v>
      </c>
      <c r="F184" s="3" t="s">
        <v>48</v>
      </c>
      <c r="G184" s="5">
        <v>20.02</v>
      </c>
      <c r="H184" s="3" t="s">
        <v>30</v>
      </c>
      <c r="I184" s="3" t="s">
        <v>26</v>
      </c>
      <c r="J184" s="5">
        <v>23060.15</v>
      </c>
    </row>
    <row r="185" spans="1:10" x14ac:dyDescent="0.3">
      <c r="A185" s="3" t="s">
        <v>256</v>
      </c>
      <c r="B185" s="4">
        <v>45422</v>
      </c>
      <c r="C185" s="3" t="s">
        <v>11</v>
      </c>
      <c r="D185" s="3" t="s">
        <v>18</v>
      </c>
      <c r="E185" s="3" t="s">
        <v>28</v>
      </c>
      <c r="F185" s="3" t="s">
        <v>52</v>
      </c>
      <c r="G185" s="5">
        <v>158.78</v>
      </c>
      <c r="H185" s="3" t="s">
        <v>34</v>
      </c>
      <c r="I185" s="3" t="s">
        <v>26</v>
      </c>
      <c r="J185" s="5">
        <v>22901.37</v>
      </c>
    </row>
    <row r="186" spans="1:10" x14ac:dyDescent="0.3">
      <c r="A186" s="3" t="s">
        <v>257</v>
      </c>
      <c r="B186" s="4">
        <v>45423</v>
      </c>
      <c r="C186" s="3" t="s">
        <v>36</v>
      </c>
      <c r="D186" s="3" t="s">
        <v>18</v>
      </c>
      <c r="E186" s="3" t="s">
        <v>47</v>
      </c>
      <c r="F186" s="3" t="s">
        <v>82</v>
      </c>
      <c r="G186" s="5">
        <v>33.36</v>
      </c>
      <c r="H186" s="3" t="s">
        <v>30</v>
      </c>
      <c r="I186" s="3" t="s">
        <v>26</v>
      </c>
      <c r="J186" s="5">
        <v>22868.01</v>
      </c>
    </row>
    <row r="187" spans="1:10" x14ac:dyDescent="0.3">
      <c r="A187" s="3" t="s">
        <v>258</v>
      </c>
      <c r="B187" s="4">
        <v>45423</v>
      </c>
      <c r="C187" s="3" t="s">
        <v>11</v>
      </c>
      <c r="D187" s="3" t="s">
        <v>18</v>
      </c>
      <c r="E187" s="3" t="s">
        <v>39</v>
      </c>
      <c r="F187" s="3" t="s">
        <v>89</v>
      </c>
      <c r="G187" s="5">
        <v>24.41</v>
      </c>
      <c r="H187" s="3" t="s">
        <v>30</v>
      </c>
      <c r="I187" s="3" t="s">
        <v>26</v>
      </c>
      <c r="J187" s="5">
        <v>22843.599999999999</v>
      </c>
    </row>
    <row r="188" spans="1:10" x14ac:dyDescent="0.3">
      <c r="A188" s="3" t="s">
        <v>259</v>
      </c>
      <c r="B188" s="4">
        <v>45424</v>
      </c>
      <c r="C188" s="3" t="s">
        <v>11</v>
      </c>
      <c r="D188" s="3" t="s">
        <v>18</v>
      </c>
      <c r="E188" s="3" t="s">
        <v>23</v>
      </c>
      <c r="F188" s="3" t="s">
        <v>124</v>
      </c>
      <c r="G188" s="5">
        <v>59.96</v>
      </c>
      <c r="H188" s="3" t="s">
        <v>30</v>
      </c>
      <c r="I188" s="3" t="s">
        <v>26</v>
      </c>
      <c r="J188" s="5">
        <v>22783.64</v>
      </c>
    </row>
    <row r="189" spans="1:10" x14ac:dyDescent="0.3">
      <c r="A189" s="3" t="s">
        <v>260</v>
      </c>
      <c r="B189" s="4">
        <v>45427</v>
      </c>
      <c r="C189" s="3" t="s">
        <v>11</v>
      </c>
      <c r="D189" s="3" t="s">
        <v>12</v>
      </c>
      <c r="E189" s="3" t="s">
        <v>13</v>
      </c>
      <c r="F189" s="3" t="s">
        <v>14</v>
      </c>
      <c r="G189" s="5">
        <v>4376.3599999999997</v>
      </c>
      <c r="H189" s="3" t="s">
        <v>15</v>
      </c>
      <c r="I189" s="3" t="s">
        <v>16</v>
      </c>
      <c r="J189" s="5">
        <v>27160</v>
      </c>
    </row>
    <row r="190" spans="1:10" x14ac:dyDescent="0.3">
      <c r="A190" s="3" t="s">
        <v>261</v>
      </c>
      <c r="B190" s="4">
        <v>45427</v>
      </c>
      <c r="C190" s="3" t="s">
        <v>11</v>
      </c>
      <c r="D190" s="3" t="s">
        <v>18</v>
      </c>
      <c r="E190" s="3" t="s">
        <v>28</v>
      </c>
      <c r="F190" s="3" t="s">
        <v>79</v>
      </c>
      <c r="G190" s="5">
        <v>150.06</v>
      </c>
      <c r="H190" s="3" t="s">
        <v>34</v>
      </c>
      <c r="I190" s="3" t="s">
        <v>26</v>
      </c>
      <c r="J190" s="5">
        <v>27009.94</v>
      </c>
    </row>
    <row r="191" spans="1:10" x14ac:dyDescent="0.3">
      <c r="A191" s="3" t="s">
        <v>262</v>
      </c>
      <c r="B191" s="4">
        <v>45428</v>
      </c>
      <c r="C191" s="3" t="s">
        <v>11</v>
      </c>
      <c r="D191" s="3" t="s">
        <v>18</v>
      </c>
      <c r="E191" s="3" t="s">
        <v>28</v>
      </c>
      <c r="F191" s="3" t="s">
        <v>52</v>
      </c>
      <c r="G191" s="5">
        <v>76</v>
      </c>
      <c r="H191" s="3" t="s">
        <v>30</v>
      </c>
      <c r="I191" s="3" t="s">
        <v>26</v>
      </c>
      <c r="J191" s="5">
        <v>26933.94</v>
      </c>
    </row>
    <row r="192" spans="1:10" x14ac:dyDescent="0.3">
      <c r="A192" s="3" t="s">
        <v>263</v>
      </c>
      <c r="B192" s="4">
        <v>45428</v>
      </c>
      <c r="C192" s="3" t="s">
        <v>36</v>
      </c>
      <c r="D192" s="3" t="s">
        <v>18</v>
      </c>
      <c r="E192" s="3" t="s">
        <v>47</v>
      </c>
      <c r="F192" s="3" t="s">
        <v>91</v>
      </c>
      <c r="G192" s="5">
        <v>9.86</v>
      </c>
      <c r="H192" s="3" t="s">
        <v>25</v>
      </c>
      <c r="I192" s="3" t="s">
        <v>26</v>
      </c>
      <c r="J192" s="5">
        <v>26924.080000000002</v>
      </c>
    </row>
    <row r="193" spans="1:10" x14ac:dyDescent="0.3">
      <c r="A193" s="3" t="s">
        <v>264</v>
      </c>
      <c r="B193" s="4">
        <v>45429</v>
      </c>
      <c r="C193" s="3" t="s">
        <v>36</v>
      </c>
      <c r="D193" s="3" t="s">
        <v>18</v>
      </c>
      <c r="E193" s="3" t="s">
        <v>23</v>
      </c>
      <c r="F193" s="3" t="s">
        <v>124</v>
      </c>
      <c r="G193" s="5">
        <v>69.3</v>
      </c>
      <c r="H193" s="3" t="s">
        <v>34</v>
      </c>
      <c r="I193" s="3" t="s">
        <v>26</v>
      </c>
      <c r="J193" s="5">
        <v>26854.78</v>
      </c>
    </row>
    <row r="194" spans="1:10" x14ac:dyDescent="0.3">
      <c r="A194" s="3" t="s">
        <v>265</v>
      </c>
      <c r="B194" s="4">
        <v>45430</v>
      </c>
      <c r="C194" s="3" t="s">
        <v>36</v>
      </c>
      <c r="D194" s="3" t="s">
        <v>18</v>
      </c>
      <c r="E194" s="3" t="s">
        <v>28</v>
      </c>
      <c r="F194" s="3" t="s">
        <v>79</v>
      </c>
      <c r="G194" s="5">
        <v>67.72</v>
      </c>
      <c r="H194" s="3" t="s">
        <v>34</v>
      </c>
      <c r="I194" s="3" t="s">
        <v>26</v>
      </c>
      <c r="J194" s="5">
        <v>26787.06</v>
      </c>
    </row>
    <row r="195" spans="1:10" x14ac:dyDescent="0.3">
      <c r="A195" s="3" t="s">
        <v>266</v>
      </c>
      <c r="B195" s="4">
        <v>45430</v>
      </c>
      <c r="C195" s="3" t="s">
        <v>36</v>
      </c>
      <c r="D195" s="3" t="s">
        <v>18</v>
      </c>
      <c r="E195" s="3" t="s">
        <v>23</v>
      </c>
      <c r="F195" s="3" t="s">
        <v>76</v>
      </c>
      <c r="G195" s="5">
        <v>26.48</v>
      </c>
      <c r="H195" s="3" t="s">
        <v>30</v>
      </c>
      <c r="I195" s="3" t="s">
        <v>26</v>
      </c>
      <c r="J195" s="5">
        <v>26760.58</v>
      </c>
    </row>
    <row r="196" spans="1:10" x14ac:dyDescent="0.3">
      <c r="A196" s="3" t="s">
        <v>267</v>
      </c>
      <c r="B196" s="4">
        <v>45431</v>
      </c>
      <c r="C196" s="3" t="s">
        <v>11</v>
      </c>
      <c r="D196" s="3" t="s">
        <v>18</v>
      </c>
      <c r="E196" s="3" t="s">
        <v>23</v>
      </c>
      <c r="F196" s="3" t="s">
        <v>24</v>
      </c>
      <c r="G196" s="5">
        <v>32.54</v>
      </c>
      <c r="H196" s="3" t="s">
        <v>30</v>
      </c>
      <c r="I196" s="3" t="s">
        <v>26</v>
      </c>
      <c r="J196" s="5">
        <v>26728.04</v>
      </c>
    </row>
    <row r="197" spans="1:10" x14ac:dyDescent="0.3">
      <c r="A197" s="3" t="s">
        <v>268</v>
      </c>
      <c r="B197" s="4">
        <v>45431</v>
      </c>
      <c r="C197" s="3" t="s">
        <v>11</v>
      </c>
      <c r="D197" s="3" t="s">
        <v>18</v>
      </c>
      <c r="E197" s="3" t="s">
        <v>47</v>
      </c>
      <c r="F197" s="3" t="s">
        <v>91</v>
      </c>
      <c r="G197" s="5">
        <v>42.39</v>
      </c>
      <c r="H197" s="3" t="s">
        <v>34</v>
      </c>
      <c r="I197" s="3" t="s">
        <v>26</v>
      </c>
      <c r="J197" s="5">
        <v>26685.65</v>
      </c>
    </row>
    <row r="198" spans="1:10" x14ac:dyDescent="0.3">
      <c r="A198" s="3" t="s">
        <v>269</v>
      </c>
      <c r="B198" s="4">
        <v>45432</v>
      </c>
      <c r="C198" s="3" t="s">
        <v>36</v>
      </c>
      <c r="D198" s="3" t="s">
        <v>18</v>
      </c>
      <c r="E198" s="3" t="s">
        <v>28</v>
      </c>
      <c r="F198" s="3" t="s">
        <v>74</v>
      </c>
      <c r="G198" s="5">
        <v>55.22</v>
      </c>
      <c r="H198" s="3" t="s">
        <v>30</v>
      </c>
      <c r="I198" s="3" t="s">
        <v>26</v>
      </c>
      <c r="J198" s="5">
        <v>26630.43</v>
      </c>
    </row>
    <row r="199" spans="1:10" x14ac:dyDescent="0.3">
      <c r="A199" s="3" t="s">
        <v>270</v>
      </c>
      <c r="B199" s="4">
        <v>45432</v>
      </c>
      <c r="C199" s="3" t="s">
        <v>36</v>
      </c>
      <c r="D199" s="3" t="s">
        <v>18</v>
      </c>
      <c r="E199" s="3" t="s">
        <v>23</v>
      </c>
      <c r="F199" s="3" t="s">
        <v>54</v>
      </c>
      <c r="G199" s="5">
        <v>26.22</v>
      </c>
      <c r="H199" s="3" t="s">
        <v>34</v>
      </c>
      <c r="I199" s="3" t="s">
        <v>26</v>
      </c>
      <c r="J199" s="5">
        <v>26604.21</v>
      </c>
    </row>
    <row r="200" spans="1:10" x14ac:dyDescent="0.3">
      <c r="A200" s="3" t="s">
        <v>271</v>
      </c>
      <c r="B200" s="4">
        <v>45433</v>
      </c>
      <c r="C200" s="3" t="s">
        <v>36</v>
      </c>
      <c r="D200" s="3" t="s">
        <v>18</v>
      </c>
      <c r="E200" s="3" t="s">
        <v>47</v>
      </c>
      <c r="F200" s="3" t="s">
        <v>106</v>
      </c>
      <c r="G200" s="5">
        <v>10.83</v>
      </c>
      <c r="H200" s="3" t="s">
        <v>30</v>
      </c>
      <c r="I200" s="3" t="s">
        <v>26</v>
      </c>
      <c r="J200" s="5">
        <v>26593.38</v>
      </c>
    </row>
    <row r="201" spans="1:10" x14ac:dyDescent="0.3">
      <c r="A201" s="3" t="s">
        <v>272</v>
      </c>
      <c r="B201" s="4">
        <v>45434</v>
      </c>
      <c r="C201" s="3" t="s">
        <v>126</v>
      </c>
      <c r="D201" s="3" t="s">
        <v>12</v>
      </c>
      <c r="E201" s="3" t="s">
        <v>108</v>
      </c>
      <c r="F201" s="3" t="s">
        <v>109</v>
      </c>
      <c r="G201" s="5">
        <v>831.19</v>
      </c>
      <c r="H201" s="3" t="s">
        <v>110</v>
      </c>
      <c r="I201" s="3" t="s">
        <v>26</v>
      </c>
      <c r="J201" s="5">
        <v>27424.57</v>
      </c>
    </row>
    <row r="202" spans="1:10" x14ac:dyDescent="0.3">
      <c r="A202" s="3" t="s">
        <v>273</v>
      </c>
      <c r="B202" s="4">
        <v>45434</v>
      </c>
      <c r="C202" s="3" t="s">
        <v>11</v>
      </c>
      <c r="D202" s="3" t="s">
        <v>18</v>
      </c>
      <c r="E202" s="3" t="s">
        <v>23</v>
      </c>
      <c r="F202" s="3" t="s">
        <v>135</v>
      </c>
      <c r="G202" s="5">
        <v>42.45</v>
      </c>
      <c r="H202" s="3" t="s">
        <v>25</v>
      </c>
      <c r="I202" s="3" t="s">
        <v>26</v>
      </c>
      <c r="J202" s="5">
        <v>27382.12</v>
      </c>
    </row>
    <row r="203" spans="1:10" x14ac:dyDescent="0.3">
      <c r="A203" s="3" t="s">
        <v>274</v>
      </c>
      <c r="B203" s="4">
        <v>45435</v>
      </c>
      <c r="C203" s="3" t="s">
        <v>36</v>
      </c>
      <c r="D203" s="3" t="s">
        <v>18</v>
      </c>
      <c r="E203" s="3" t="s">
        <v>47</v>
      </c>
      <c r="F203" s="3" t="s">
        <v>48</v>
      </c>
      <c r="G203" s="5">
        <v>11.12</v>
      </c>
      <c r="H203" s="3" t="s">
        <v>25</v>
      </c>
      <c r="I203" s="3" t="s">
        <v>26</v>
      </c>
      <c r="J203" s="5">
        <v>27371</v>
      </c>
    </row>
    <row r="204" spans="1:10" x14ac:dyDescent="0.3">
      <c r="A204" s="3" t="s">
        <v>275</v>
      </c>
      <c r="B204" s="4">
        <v>45436</v>
      </c>
      <c r="C204" s="3" t="s">
        <v>36</v>
      </c>
      <c r="D204" s="3" t="s">
        <v>18</v>
      </c>
      <c r="E204" s="3" t="s">
        <v>23</v>
      </c>
      <c r="F204" s="3" t="s">
        <v>98</v>
      </c>
      <c r="G204" s="5">
        <v>70.12</v>
      </c>
      <c r="H204" s="3" t="s">
        <v>34</v>
      </c>
      <c r="I204" s="3" t="s">
        <v>26</v>
      </c>
      <c r="J204" s="5">
        <v>27300.880000000001</v>
      </c>
    </row>
    <row r="205" spans="1:10" x14ac:dyDescent="0.3">
      <c r="A205" s="3" t="s">
        <v>276</v>
      </c>
      <c r="B205" s="4">
        <v>45437</v>
      </c>
      <c r="C205" s="3" t="s">
        <v>36</v>
      </c>
      <c r="D205" s="3" t="s">
        <v>18</v>
      </c>
      <c r="E205" s="3" t="s">
        <v>28</v>
      </c>
      <c r="F205" s="3" t="s">
        <v>52</v>
      </c>
      <c r="G205" s="5">
        <v>63.5</v>
      </c>
      <c r="H205" s="3" t="s">
        <v>34</v>
      </c>
      <c r="I205" s="3" t="s">
        <v>26</v>
      </c>
      <c r="J205" s="5">
        <v>27237.38</v>
      </c>
    </row>
    <row r="206" spans="1:10" x14ac:dyDescent="0.3">
      <c r="A206" s="3" t="s">
        <v>277</v>
      </c>
      <c r="B206" s="4">
        <v>45437</v>
      </c>
      <c r="C206" s="3" t="s">
        <v>36</v>
      </c>
      <c r="D206" s="3" t="s">
        <v>18</v>
      </c>
      <c r="E206" s="3" t="s">
        <v>23</v>
      </c>
      <c r="F206" s="3" t="s">
        <v>54</v>
      </c>
      <c r="G206" s="5">
        <v>17.86</v>
      </c>
      <c r="H206" s="3" t="s">
        <v>34</v>
      </c>
      <c r="I206" s="3" t="s">
        <v>26</v>
      </c>
      <c r="J206" s="5">
        <v>27219.52</v>
      </c>
    </row>
    <row r="207" spans="1:10" x14ac:dyDescent="0.3">
      <c r="A207" s="3" t="s">
        <v>278</v>
      </c>
      <c r="B207" s="4">
        <v>45439</v>
      </c>
      <c r="C207" s="3" t="s">
        <v>36</v>
      </c>
      <c r="D207" s="3" t="s">
        <v>18</v>
      </c>
      <c r="E207" s="3" t="s">
        <v>23</v>
      </c>
      <c r="F207" s="3" t="s">
        <v>135</v>
      </c>
      <c r="G207" s="5">
        <v>17.48</v>
      </c>
      <c r="H207" s="3" t="s">
        <v>34</v>
      </c>
      <c r="I207" s="3" t="s">
        <v>26</v>
      </c>
      <c r="J207" s="5">
        <v>27202.04</v>
      </c>
    </row>
    <row r="208" spans="1:10" x14ac:dyDescent="0.3">
      <c r="A208" s="3" t="s">
        <v>279</v>
      </c>
      <c r="B208" s="4">
        <v>45440</v>
      </c>
      <c r="C208" s="3" t="s">
        <v>11</v>
      </c>
      <c r="D208" s="3" t="s">
        <v>18</v>
      </c>
      <c r="E208" s="3" t="s">
        <v>23</v>
      </c>
      <c r="F208" s="3" t="s">
        <v>98</v>
      </c>
      <c r="G208" s="5">
        <v>35.409999999999997</v>
      </c>
      <c r="H208" s="3" t="s">
        <v>30</v>
      </c>
      <c r="I208" s="3" t="s">
        <v>26</v>
      </c>
      <c r="J208" s="5">
        <v>27166.63</v>
      </c>
    </row>
    <row r="209" spans="1:10" x14ac:dyDescent="0.3">
      <c r="A209" s="3" t="s">
        <v>280</v>
      </c>
      <c r="B209" s="4">
        <v>45440</v>
      </c>
      <c r="C209" s="3" t="s">
        <v>36</v>
      </c>
      <c r="D209" s="3" t="s">
        <v>18</v>
      </c>
      <c r="E209" s="3" t="s">
        <v>47</v>
      </c>
      <c r="F209" s="3" t="s">
        <v>60</v>
      </c>
      <c r="G209" s="5">
        <v>13.25</v>
      </c>
      <c r="H209" s="3" t="s">
        <v>34</v>
      </c>
      <c r="I209" s="3" t="s">
        <v>26</v>
      </c>
      <c r="J209" s="5">
        <v>27153.38</v>
      </c>
    </row>
    <row r="210" spans="1:10" x14ac:dyDescent="0.3">
      <c r="A210" s="3" t="s">
        <v>281</v>
      </c>
      <c r="B210" s="4">
        <v>45441</v>
      </c>
      <c r="C210" s="3" t="s">
        <v>36</v>
      </c>
      <c r="D210" s="3" t="s">
        <v>18</v>
      </c>
      <c r="E210" s="3" t="s">
        <v>28</v>
      </c>
      <c r="F210" s="3" t="s">
        <v>52</v>
      </c>
      <c r="G210" s="5">
        <v>127.41</v>
      </c>
      <c r="H210" s="3" t="s">
        <v>34</v>
      </c>
      <c r="I210" s="3" t="s">
        <v>26</v>
      </c>
      <c r="J210" s="5">
        <v>27025.97</v>
      </c>
    </row>
    <row r="211" spans="1:10" x14ac:dyDescent="0.3">
      <c r="A211" s="3" t="s">
        <v>282</v>
      </c>
      <c r="B211" s="4">
        <v>45442</v>
      </c>
      <c r="C211" s="3" t="s">
        <v>11</v>
      </c>
      <c r="D211" s="3" t="s">
        <v>18</v>
      </c>
      <c r="E211" s="3" t="s">
        <v>47</v>
      </c>
      <c r="F211" s="3" t="s">
        <v>106</v>
      </c>
      <c r="G211" s="5">
        <v>25.55</v>
      </c>
      <c r="H211" s="3" t="s">
        <v>25</v>
      </c>
      <c r="I211" s="3" t="s">
        <v>26</v>
      </c>
      <c r="J211" s="5">
        <v>27000.42</v>
      </c>
    </row>
    <row r="212" spans="1:10" x14ac:dyDescent="0.3">
      <c r="A212" s="3" t="s">
        <v>283</v>
      </c>
      <c r="B212" s="4">
        <v>45444</v>
      </c>
      <c r="C212" s="3" t="s">
        <v>11</v>
      </c>
      <c r="D212" s="3" t="s">
        <v>12</v>
      </c>
      <c r="E212" s="3" t="s">
        <v>13</v>
      </c>
      <c r="F212" s="3" t="s">
        <v>239</v>
      </c>
      <c r="G212" s="5">
        <v>4477.01</v>
      </c>
      <c r="H212" s="3" t="s">
        <v>15</v>
      </c>
      <c r="I212" s="3" t="s">
        <v>16</v>
      </c>
      <c r="J212" s="5">
        <v>31477.43</v>
      </c>
    </row>
    <row r="213" spans="1:10" x14ac:dyDescent="0.3">
      <c r="A213" s="3" t="s">
        <v>284</v>
      </c>
      <c r="B213" s="4">
        <v>45444</v>
      </c>
      <c r="C213" s="3" t="s">
        <v>11</v>
      </c>
      <c r="D213" s="3" t="s">
        <v>18</v>
      </c>
      <c r="E213" s="3" t="s">
        <v>19</v>
      </c>
      <c r="F213" s="3" t="s">
        <v>20</v>
      </c>
      <c r="G213" s="5">
        <v>1977.5</v>
      </c>
      <c r="H213" s="3" t="s">
        <v>21</v>
      </c>
      <c r="I213" s="3" t="s">
        <v>16</v>
      </c>
      <c r="J213" s="5">
        <v>29499.93</v>
      </c>
    </row>
    <row r="214" spans="1:10" x14ac:dyDescent="0.3">
      <c r="A214" s="3" t="s">
        <v>285</v>
      </c>
      <c r="B214" s="4">
        <v>45445</v>
      </c>
      <c r="C214" s="3" t="s">
        <v>36</v>
      </c>
      <c r="D214" s="3" t="s">
        <v>18</v>
      </c>
      <c r="E214" s="3" t="s">
        <v>23</v>
      </c>
      <c r="F214" s="3" t="s">
        <v>37</v>
      </c>
      <c r="G214" s="5">
        <v>28.2</v>
      </c>
      <c r="H214" s="3" t="s">
        <v>34</v>
      </c>
      <c r="I214" s="3" t="s">
        <v>26</v>
      </c>
      <c r="J214" s="5">
        <v>29471.73</v>
      </c>
    </row>
    <row r="215" spans="1:10" x14ac:dyDescent="0.3">
      <c r="A215" s="3" t="s">
        <v>286</v>
      </c>
      <c r="B215" s="4">
        <v>45446</v>
      </c>
      <c r="C215" s="3" t="s">
        <v>11</v>
      </c>
      <c r="D215" s="3" t="s">
        <v>18</v>
      </c>
      <c r="E215" s="3" t="s">
        <v>39</v>
      </c>
      <c r="F215" s="3" t="s">
        <v>179</v>
      </c>
      <c r="G215" s="5">
        <v>37.92</v>
      </c>
      <c r="H215" s="3" t="s">
        <v>34</v>
      </c>
      <c r="I215" s="3" t="s">
        <v>26</v>
      </c>
      <c r="J215" s="5">
        <v>29433.81</v>
      </c>
    </row>
    <row r="216" spans="1:10" x14ac:dyDescent="0.3">
      <c r="A216" s="3" t="s">
        <v>287</v>
      </c>
      <c r="B216" s="4">
        <v>45448</v>
      </c>
      <c r="C216" s="3" t="s">
        <v>11</v>
      </c>
      <c r="D216" s="3" t="s">
        <v>18</v>
      </c>
      <c r="E216" s="3" t="s">
        <v>43</v>
      </c>
      <c r="F216" s="3" t="s">
        <v>151</v>
      </c>
      <c r="G216" s="5">
        <v>200.31</v>
      </c>
      <c r="H216" s="3" t="s">
        <v>21</v>
      </c>
      <c r="I216" s="3" t="s">
        <v>16</v>
      </c>
      <c r="J216" s="5">
        <v>29233.5</v>
      </c>
    </row>
    <row r="217" spans="1:10" x14ac:dyDescent="0.3">
      <c r="A217" s="3" t="s">
        <v>288</v>
      </c>
      <c r="B217" s="4">
        <v>45448</v>
      </c>
      <c r="C217" s="3" t="s">
        <v>36</v>
      </c>
      <c r="D217" s="3" t="s">
        <v>18</v>
      </c>
      <c r="E217" s="3" t="s">
        <v>28</v>
      </c>
      <c r="F217" s="3" t="s">
        <v>114</v>
      </c>
      <c r="G217" s="5">
        <v>36.78</v>
      </c>
      <c r="H217" s="3" t="s">
        <v>30</v>
      </c>
      <c r="I217" s="3" t="s">
        <v>26</v>
      </c>
      <c r="J217" s="5">
        <v>29196.720000000001</v>
      </c>
    </row>
    <row r="218" spans="1:10" x14ac:dyDescent="0.3">
      <c r="A218" s="3" t="s">
        <v>289</v>
      </c>
      <c r="B218" s="4">
        <v>45448</v>
      </c>
      <c r="C218" s="3" t="s">
        <v>11</v>
      </c>
      <c r="D218" s="3" t="s">
        <v>18</v>
      </c>
      <c r="E218" s="3" t="s">
        <v>23</v>
      </c>
      <c r="F218" s="3" t="s">
        <v>87</v>
      </c>
      <c r="G218" s="5">
        <v>66.33</v>
      </c>
      <c r="H218" s="3" t="s">
        <v>34</v>
      </c>
      <c r="I218" s="3" t="s">
        <v>26</v>
      </c>
      <c r="J218" s="5">
        <v>29130.39</v>
      </c>
    </row>
    <row r="219" spans="1:10" x14ac:dyDescent="0.3">
      <c r="A219" s="3" t="s">
        <v>290</v>
      </c>
      <c r="B219" s="4">
        <v>45449</v>
      </c>
      <c r="C219" s="3" t="s">
        <v>11</v>
      </c>
      <c r="D219" s="3" t="s">
        <v>18</v>
      </c>
      <c r="E219" s="3" t="s">
        <v>28</v>
      </c>
      <c r="F219" s="3" t="s">
        <v>117</v>
      </c>
      <c r="G219" s="5">
        <v>142.71</v>
      </c>
      <c r="H219" s="3" t="s">
        <v>34</v>
      </c>
      <c r="I219" s="3" t="s">
        <v>26</v>
      </c>
      <c r="J219" s="5">
        <v>28987.68</v>
      </c>
    </row>
    <row r="220" spans="1:10" x14ac:dyDescent="0.3">
      <c r="A220" s="3" t="s">
        <v>291</v>
      </c>
      <c r="B220" s="4">
        <v>45450</v>
      </c>
      <c r="C220" s="3" t="s">
        <v>11</v>
      </c>
      <c r="D220" s="3" t="s">
        <v>18</v>
      </c>
      <c r="E220" s="3" t="s">
        <v>28</v>
      </c>
      <c r="F220" s="3" t="s">
        <v>58</v>
      </c>
      <c r="G220" s="5">
        <v>96.38</v>
      </c>
      <c r="H220" s="3" t="s">
        <v>30</v>
      </c>
      <c r="I220" s="3" t="s">
        <v>26</v>
      </c>
      <c r="J220" s="5">
        <v>28891.3</v>
      </c>
    </row>
    <row r="221" spans="1:10" x14ac:dyDescent="0.3">
      <c r="A221" s="3" t="s">
        <v>292</v>
      </c>
      <c r="B221" s="4">
        <v>45450</v>
      </c>
      <c r="C221" s="3" t="s">
        <v>11</v>
      </c>
      <c r="D221" s="3" t="s">
        <v>18</v>
      </c>
      <c r="E221" s="3" t="s">
        <v>23</v>
      </c>
      <c r="F221" s="3" t="s">
        <v>37</v>
      </c>
      <c r="G221" s="5">
        <v>59.79</v>
      </c>
      <c r="H221" s="3" t="s">
        <v>34</v>
      </c>
      <c r="I221" s="3" t="s">
        <v>26</v>
      </c>
      <c r="J221" s="5">
        <v>28831.51</v>
      </c>
    </row>
    <row r="222" spans="1:10" x14ac:dyDescent="0.3">
      <c r="A222" s="3" t="s">
        <v>293</v>
      </c>
      <c r="B222" s="4">
        <v>45450</v>
      </c>
      <c r="C222" s="3" t="s">
        <v>11</v>
      </c>
      <c r="D222" s="3" t="s">
        <v>18</v>
      </c>
      <c r="E222" s="3" t="s">
        <v>47</v>
      </c>
      <c r="F222" s="3" t="s">
        <v>56</v>
      </c>
      <c r="G222" s="5">
        <v>29.55</v>
      </c>
      <c r="H222" s="3" t="s">
        <v>30</v>
      </c>
      <c r="I222" s="3" t="s">
        <v>26</v>
      </c>
      <c r="J222" s="5">
        <v>28801.96</v>
      </c>
    </row>
    <row r="223" spans="1:10" x14ac:dyDescent="0.3">
      <c r="A223" s="3" t="s">
        <v>294</v>
      </c>
      <c r="B223" s="4">
        <v>45451</v>
      </c>
      <c r="C223" s="3" t="s">
        <v>11</v>
      </c>
      <c r="D223" s="3" t="s">
        <v>18</v>
      </c>
      <c r="E223" s="3" t="s">
        <v>43</v>
      </c>
      <c r="F223" s="3" t="s">
        <v>50</v>
      </c>
      <c r="G223" s="5">
        <v>88.55</v>
      </c>
      <c r="H223" s="3" t="s">
        <v>21</v>
      </c>
      <c r="I223" s="3" t="s">
        <v>16</v>
      </c>
      <c r="J223" s="5">
        <v>28713.41</v>
      </c>
    </row>
    <row r="224" spans="1:10" x14ac:dyDescent="0.3">
      <c r="A224" s="3" t="s">
        <v>295</v>
      </c>
      <c r="B224" s="4">
        <v>45451</v>
      </c>
      <c r="C224" s="3" t="s">
        <v>11</v>
      </c>
      <c r="D224" s="3" t="s">
        <v>18</v>
      </c>
      <c r="E224" s="3" t="s">
        <v>28</v>
      </c>
      <c r="F224" s="3" t="s">
        <v>74</v>
      </c>
      <c r="G224" s="5">
        <v>162.08000000000001</v>
      </c>
      <c r="H224" s="3" t="s">
        <v>34</v>
      </c>
      <c r="I224" s="3" t="s">
        <v>26</v>
      </c>
      <c r="J224" s="5">
        <v>28551.33</v>
      </c>
    </row>
    <row r="225" spans="1:10" x14ac:dyDescent="0.3">
      <c r="A225" s="3" t="s">
        <v>296</v>
      </c>
      <c r="B225" s="4">
        <v>45451</v>
      </c>
      <c r="C225" s="3" t="s">
        <v>36</v>
      </c>
      <c r="D225" s="3" t="s">
        <v>18</v>
      </c>
      <c r="E225" s="3" t="s">
        <v>47</v>
      </c>
      <c r="F225" s="3" t="s">
        <v>91</v>
      </c>
      <c r="G225" s="5">
        <v>35.450000000000003</v>
      </c>
      <c r="H225" s="3" t="s">
        <v>25</v>
      </c>
      <c r="I225" s="3" t="s">
        <v>26</v>
      </c>
      <c r="J225" s="5">
        <v>28515.88</v>
      </c>
    </row>
    <row r="226" spans="1:10" x14ac:dyDescent="0.3">
      <c r="A226" s="3" t="s">
        <v>297</v>
      </c>
      <c r="B226" s="4">
        <v>45451</v>
      </c>
      <c r="C226" s="3" t="s">
        <v>11</v>
      </c>
      <c r="D226" s="3" t="s">
        <v>18</v>
      </c>
      <c r="E226" s="3" t="s">
        <v>39</v>
      </c>
      <c r="F226" s="3" t="s">
        <v>186</v>
      </c>
      <c r="G226" s="5">
        <v>88.74</v>
      </c>
      <c r="H226" s="3" t="s">
        <v>30</v>
      </c>
      <c r="I226" s="3" t="s">
        <v>26</v>
      </c>
      <c r="J226" s="5">
        <v>28427.14</v>
      </c>
    </row>
    <row r="227" spans="1:10" x14ac:dyDescent="0.3">
      <c r="A227" s="3" t="s">
        <v>298</v>
      </c>
      <c r="B227" s="4">
        <v>45452</v>
      </c>
      <c r="C227" s="3" t="s">
        <v>36</v>
      </c>
      <c r="D227" s="3" t="s">
        <v>18</v>
      </c>
      <c r="E227" s="3" t="s">
        <v>43</v>
      </c>
      <c r="F227" s="3" t="s">
        <v>103</v>
      </c>
      <c r="G227" s="5">
        <v>239.29</v>
      </c>
      <c r="H227" s="3" t="s">
        <v>21</v>
      </c>
      <c r="I227" s="3" t="s">
        <v>16</v>
      </c>
      <c r="J227" s="5">
        <v>28187.85</v>
      </c>
    </row>
    <row r="228" spans="1:10" x14ac:dyDescent="0.3">
      <c r="A228" s="3" t="s">
        <v>299</v>
      </c>
      <c r="B228" s="4">
        <v>45452</v>
      </c>
      <c r="C228" s="3" t="s">
        <v>36</v>
      </c>
      <c r="D228" s="3" t="s">
        <v>18</v>
      </c>
      <c r="E228" s="3" t="s">
        <v>23</v>
      </c>
      <c r="F228" s="3" t="s">
        <v>124</v>
      </c>
      <c r="G228" s="5">
        <v>56.28</v>
      </c>
      <c r="H228" s="3" t="s">
        <v>30</v>
      </c>
      <c r="I228" s="3" t="s">
        <v>26</v>
      </c>
      <c r="J228" s="5">
        <v>28131.57</v>
      </c>
    </row>
    <row r="229" spans="1:10" x14ac:dyDescent="0.3">
      <c r="A229" s="3" t="s">
        <v>300</v>
      </c>
      <c r="B229" s="4">
        <v>45453</v>
      </c>
      <c r="C229" s="3" t="s">
        <v>36</v>
      </c>
      <c r="D229" s="3" t="s">
        <v>18</v>
      </c>
      <c r="E229" s="3" t="s">
        <v>47</v>
      </c>
      <c r="F229" s="3" t="s">
        <v>91</v>
      </c>
      <c r="G229" s="5">
        <v>57.21</v>
      </c>
      <c r="H229" s="3" t="s">
        <v>34</v>
      </c>
      <c r="I229" s="3" t="s">
        <v>26</v>
      </c>
      <c r="J229" s="5">
        <v>28074.36</v>
      </c>
    </row>
    <row r="230" spans="1:10" x14ac:dyDescent="0.3">
      <c r="A230" s="3" t="s">
        <v>301</v>
      </c>
      <c r="B230" s="4">
        <v>45453</v>
      </c>
      <c r="C230" s="3" t="s">
        <v>11</v>
      </c>
      <c r="D230" s="3" t="s">
        <v>18</v>
      </c>
      <c r="E230" s="3" t="s">
        <v>39</v>
      </c>
      <c r="F230" s="3" t="s">
        <v>89</v>
      </c>
      <c r="G230" s="5">
        <v>17.28</v>
      </c>
      <c r="H230" s="3" t="s">
        <v>34</v>
      </c>
      <c r="I230" s="3" t="s">
        <v>26</v>
      </c>
      <c r="J230" s="5">
        <v>28057.08</v>
      </c>
    </row>
    <row r="231" spans="1:10" x14ac:dyDescent="0.3">
      <c r="A231" s="3" t="s">
        <v>302</v>
      </c>
      <c r="B231" s="4">
        <v>45454</v>
      </c>
      <c r="C231" s="3" t="s">
        <v>11</v>
      </c>
      <c r="D231" s="3" t="s">
        <v>18</v>
      </c>
      <c r="E231" s="3" t="s">
        <v>28</v>
      </c>
      <c r="F231" s="3" t="s">
        <v>58</v>
      </c>
      <c r="G231" s="5">
        <v>140.16999999999999</v>
      </c>
      <c r="H231" s="3" t="s">
        <v>34</v>
      </c>
      <c r="I231" s="3" t="s">
        <v>26</v>
      </c>
      <c r="J231" s="5">
        <v>27916.91</v>
      </c>
    </row>
    <row r="232" spans="1:10" x14ac:dyDescent="0.3">
      <c r="A232" s="3" t="s">
        <v>303</v>
      </c>
      <c r="B232" s="4">
        <v>45454</v>
      </c>
      <c r="C232" s="3" t="s">
        <v>11</v>
      </c>
      <c r="D232" s="3" t="s">
        <v>18</v>
      </c>
      <c r="E232" s="3" t="s">
        <v>47</v>
      </c>
      <c r="F232" s="3" t="s">
        <v>60</v>
      </c>
      <c r="G232" s="5">
        <v>12.59</v>
      </c>
      <c r="H232" s="3" t="s">
        <v>34</v>
      </c>
      <c r="I232" s="3" t="s">
        <v>26</v>
      </c>
      <c r="J232" s="5">
        <v>27904.32</v>
      </c>
    </row>
    <row r="233" spans="1:10" x14ac:dyDescent="0.3">
      <c r="A233" s="3" t="s">
        <v>304</v>
      </c>
      <c r="B233" s="4">
        <v>45455</v>
      </c>
      <c r="C233" s="3" t="s">
        <v>11</v>
      </c>
      <c r="D233" s="3" t="s">
        <v>18</v>
      </c>
      <c r="E233" s="3" t="s">
        <v>28</v>
      </c>
      <c r="F233" s="3" t="s">
        <v>114</v>
      </c>
      <c r="G233" s="5">
        <v>47.79</v>
      </c>
      <c r="H233" s="3" t="s">
        <v>34</v>
      </c>
      <c r="I233" s="3" t="s">
        <v>26</v>
      </c>
      <c r="J233" s="5">
        <v>27856.53</v>
      </c>
    </row>
    <row r="234" spans="1:10" x14ac:dyDescent="0.3">
      <c r="A234" s="3" t="s">
        <v>305</v>
      </c>
      <c r="B234" s="4">
        <v>45456</v>
      </c>
      <c r="C234" s="3" t="s">
        <v>36</v>
      </c>
      <c r="D234" s="3" t="s">
        <v>18</v>
      </c>
      <c r="E234" s="3" t="s">
        <v>28</v>
      </c>
      <c r="F234" s="3" t="s">
        <v>114</v>
      </c>
      <c r="G234" s="5">
        <v>86.69</v>
      </c>
      <c r="H234" s="3" t="s">
        <v>30</v>
      </c>
      <c r="I234" s="3" t="s">
        <v>26</v>
      </c>
      <c r="J234" s="5">
        <v>27769.84</v>
      </c>
    </row>
    <row r="235" spans="1:10" x14ac:dyDescent="0.3">
      <c r="A235" s="3" t="s">
        <v>306</v>
      </c>
      <c r="B235" s="4">
        <v>45457</v>
      </c>
      <c r="C235" s="3" t="s">
        <v>36</v>
      </c>
      <c r="D235" s="3" t="s">
        <v>18</v>
      </c>
      <c r="E235" s="3" t="s">
        <v>23</v>
      </c>
      <c r="F235" s="3" t="s">
        <v>135</v>
      </c>
      <c r="G235" s="5">
        <v>8.4700000000000006</v>
      </c>
      <c r="H235" s="3" t="s">
        <v>30</v>
      </c>
      <c r="I235" s="3" t="s">
        <v>26</v>
      </c>
      <c r="J235" s="5">
        <v>27761.37</v>
      </c>
    </row>
    <row r="236" spans="1:10" x14ac:dyDescent="0.3">
      <c r="A236" s="3" t="s">
        <v>307</v>
      </c>
      <c r="B236" s="4">
        <v>45458</v>
      </c>
      <c r="C236" s="3" t="s">
        <v>11</v>
      </c>
      <c r="D236" s="3" t="s">
        <v>12</v>
      </c>
      <c r="E236" s="3" t="s">
        <v>13</v>
      </c>
      <c r="F236" s="3" t="s">
        <v>239</v>
      </c>
      <c r="G236" s="5">
        <v>4923.22</v>
      </c>
      <c r="H236" s="3" t="s">
        <v>15</v>
      </c>
      <c r="I236" s="3" t="s">
        <v>16</v>
      </c>
      <c r="J236" s="5">
        <v>32684.59</v>
      </c>
    </row>
    <row r="237" spans="1:10" x14ac:dyDescent="0.3">
      <c r="A237" s="3" t="s">
        <v>308</v>
      </c>
      <c r="B237" s="4">
        <v>45458</v>
      </c>
      <c r="C237" s="3" t="s">
        <v>11</v>
      </c>
      <c r="D237" s="3" t="s">
        <v>18</v>
      </c>
      <c r="E237" s="3" t="s">
        <v>23</v>
      </c>
      <c r="F237" s="3" t="s">
        <v>98</v>
      </c>
      <c r="G237" s="5">
        <v>32.81</v>
      </c>
      <c r="H237" s="3" t="s">
        <v>30</v>
      </c>
      <c r="I237" s="3" t="s">
        <v>26</v>
      </c>
      <c r="J237" s="5">
        <v>32651.78</v>
      </c>
    </row>
    <row r="238" spans="1:10" x14ac:dyDescent="0.3">
      <c r="A238" s="3" t="s">
        <v>309</v>
      </c>
      <c r="B238" s="4">
        <v>45460</v>
      </c>
      <c r="C238" s="3" t="s">
        <v>11</v>
      </c>
      <c r="D238" s="3" t="s">
        <v>12</v>
      </c>
      <c r="E238" s="3" t="s">
        <v>108</v>
      </c>
      <c r="F238" s="3" t="s">
        <v>127</v>
      </c>
      <c r="G238" s="5">
        <v>443.78</v>
      </c>
      <c r="H238" s="3" t="s">
        <v>110</v>
      </c>
      <c r="I238" s="3" t="s">
        <v>26</v>
      </c>
      <c r="J238" s="5">
        <v>33095.56</v>
      </c>
    </row>
    <row r="239" spans="1:10" x14ac:dyDescent="0.3">
      <c r="A239" s="3" t="s">
        <v>310</v>
      </c>
      <c r="B239" s="4">
        <v>45460</v>
      </c>
      <c r="C239" s="3" t="s">
        <v>11</v>
      </c>
      <c r="D239" s="3" t="s">
        <v>18</v>
      </c>
      <c r="E239" s="3" t="s">
        <v>39</v>
      </c>
      <c r="F239" s="3" t="s">
        <v>40</v>
      </c>
      <c r="G239" s="5">
        <v>90.33</v>
      </c>
      <c r="H239" s="3" t="s">
        <v>30</v>
      </c>
      <c r="I239" s="3" t="s">
        <v>26</v>
      </c>
      <c r="J239" s="5">
        <v>33005.230000000003</v>
      </c>
    </row>
    <row r="240" spans="1:10" x14ac:dyDescent="0.3">
      <c r="A240" s="3" t="s">
        <v>311</v>
      </c>
      <c r="B240" s="4">
        <v>45461</v>
      </c>
      <c r="C240" s="3" t="s">
        <v>36</v>
      </c>
      <c r="D240" s="3" t="s">
        <v>18</v>
      </c>
      <c r="E240" s="3" t="s">
        <v>23</v>
      </c>
      <c r="F240" s="3" t="s">
        <v>54</v>
      </c>
      <c r="G240" s="5">
        <v>24.75</v>
      </c>
      <c r="H240" s="3" t="s">
        <v>25</v>
      </c>
      <c r="I240" s="3" t="s">
        <v>26</v>
      </c>
      <c r="J240" s="5">
        <v>32980.480000000003</v>
      </c>
    </row>
    <row r="241" spans="1:10" x14ac:dyDescent="0.3">
      <c r="A241" s="3" t="s">
        <v>312</v>
      </c>
      <c r="B241" s="4">
        <v>45462</v>
      </c>
      <c r="C241" s="3" t="s">
        <v>11</v>
      </c>
      <c r="D241" s="3" t="s">
        <v>18</v>
      </c>
      <c r="E241" s="3" t="s">
        <v>47</v>
      </c>
      <c r="F241" s="3" t="s">
        <v>60</v>
      </c>
      <c r="G241" s="5">
        <v>40.58</v>
      </c>
      <c r="H241" s="3" t="s">
        <v>30</v>
      </c>
      <c r="I241" s="3" t="s">
        <v>26</v>
      </c>
      <c r="J241" s="5">
        <v>32939.9</v>
      </c>
    </row>
    <row r="242" spans="1:10" x14ac:dyDescent="0.3">
      <c r="A242" s="3" t="s">
        <v>313</v>
      </c>
      <c r="B242" s="4">
        <v>45463</v>
      </c>
      <c r="C242" s="3" t="s">
        <v>36</v>
      </c>
      <c r="D242" s="3" t="s">
        <v>18</v>
      </c>
      <c r="E242" s="3" t="s">
        <v>23</v>
      </c>
      <c r="F242" s="3" t="s">
        <v>54</v>
      </c>
      <c r="G242" s="5">
        <v>32.35</v>
      </c>
      <c r="H242" s="3" t="s">
        <v>30</v>
      </c>
      <c r="I242" s="3" t="s">
        <v>26</v>
      </c>
      <c r="J242" s="5">
        <v>32907.550000000003</v>
      </c>
    </row>
    <row r="243" spans="1:10" x14ac:dyDescent="0.3">
      <c r="A243" s="3" t="s">
        <v>314</v>
      </c>
      <c r="B243" s="4">
        <v>45464</v>
      </c>
      <c r="C243" s="3" t="s">
        <v>36</v>
      </c>
      <c r="D243" s="3" t="s">
        <v>18</v>
      </c>
      <c r="E243" s="3" t="s">
        <v>39</v>
      </c>
      <c r="F243" s="3" t="s">
        <v>170</v>
      </c>
      <c r="G243" s="5">
        <v>76.430000000000007</v>
      </c>
      <c r="H243" s="3" t="s">
        <v>30</v>
      </c>
      <c r="I243" s="3" t="s">
        <v>26</v>
      </c>
      <c r="J243" s="5">
        <v>32831.120000000003</v>
      </c>
    </row>
    <row r="244" spans="1:10" x14ac:dyDescent="0.3">
      <c r="A244" s="3" t="s">
        <v>315</v>
      </c>
      <c r="B244" s="4">
        <v>45465</v>
      </c>
      <c r="C244" s="3" t="s">
        <v>36</v>
      </c>
      <c r="D244" s="3" t="s">
        <v>18</v>
      </c>
      <c r="E244" s="3" t="s">
        <v>47</v>
      </c>
      <c r="F244" s="3" t="s">
        <v>60</v>
      </c>
      <c r="G244" s="5">
        <v>45.33</v>
      </c>
      <c r="H244" s="3" t="s">
        <v>30</v>
      </c>
      <c r="I244" s="3" t="s">
        <v>26</v>
      </c>
      <c r="J244" s="5">
        <v>32785.79</v>
      </c>
    </row>
    <row r="245" spans="1:10" x14ac:dyDescent="0.3">
      <c r="A245" s="3" t="s">
        <v>316</v>
      </c>
      <c r="B245" s="4">
        <v>45466</v>
      </c>
      <c r="C245" s="3" t="s">
        <v>36</v>
      </c>
      <c r="D245" s="3" t="s">
        <v>18</v>
      </c>
      <c r="E245" s="3" t="s">
        <v>23</v>
      </c>
      <c r="F245" s="3" t="s">
        <v>24</v>
      </c>
      <c r="G245" s="5">
        <v>75.650000000000006</v>
      </c>
      <c r="H245" s="3" t="s">
        <v>25</v>
      </c>
      <c r="I245" s="3" t="s">
        <v>26</v>
      </c>
      <c r="J245" s="5">
        <v>32710.14</v>
      </c>
    </row>
    <row r="246" spans="1:10" x14ac:dyDescent="0.3">
      <c r="A246" s="3" t="s">
        <v>317</v>
      </c>
      <c r="B246" s="4">
        <v>45466</v>
      </c>
      <c r="C246" s="3" t="s">
        <v>11</v>
      </c>
      <c r="D246" s="3" t="s">
        <v>18</v>
      </c>
      <c r="E246" s="3" t="s">
        <v>39</v>
      </c>
      <c r="F246" s="3" t="s">
        <v>64</v>
      </c>
      <c r="G246" s="5">
        <v>63.95</v>
      </c>
      <c r="H246" s="3" t="s">
        <v>30</v>
      </c>
      <c r="I246" s="3" t="s">
        <v>26</v>
      </c>
      <c r="J246" s="5">
        <v>32646.19</v>
      </c>
    </row>
    <row r="247" spans="1:10" x14ac:dyDescent="0.3">
      <c r="A247" s="3" t="s">
        <v>318</v>
      </c>
      <c r="B247" s="4">
        <v>45467</v>
      </c>
      <c r="C247" s="3" t="s">
        <v>36</v>
      </c>
      <c r="D247" s="3" t="s">
        <v>18</v>
      </c>
      <c r="E247" s="3" t="s">
        <v>23</v>
      </c>
      <c r="F247" s="3" t="s">
        <v>124</v>
      </c>
      <c r="G247" s="5">
        <v>9.9600000000000009</v>
      </c>
      <c r="H247" s="3" t="s">
        <v>30</v>
      </c>
      <c r="I247" s="3" t="s">
        <v>26</v>
      </c>
      <c r="J247" s="5">
        <v>32636.23</v>
      </c>
    </row>
    <row r="248" spans="1:10" x14ac:dyDescent="0.3">
      <c r="A248" s="3" t="s">
        <v>319</v>
      </c>
      <c r="B248" s="4">
        <v>45468</v>
      </c>
      <c r="C248" s="3" t="s">
        <v>11</v>
      </c>
      <c r="D248" s="3" t="s">
        <v>18</v>
      </c>
      <c r="E248" s="3" t="s">
        <v>28</v>
      </c>
      <c r="F248" s="3" t="s">
        <v>58</v>
      </c>
      <c r="G248" s="5">
        <v>99.16</v>
      </c>
      <c r="H248" s="3" t="s">
        <v>34</v>
      </c>
      <c r="I248" s="3" t="s">
        <v>26</v>
      </c>
      <c r="J248" s="5">
        <v>32537.07</v>
      </c>
    </row>
    <row r="249" spans="1:10" x14ac:dyDescent="0.3">
      <c r="A249" s="3" t="s">
        <v>320</v>
      </c>
      <c r="B249" s="4">
        <v>45469</v>
      </c>
      <c r="C249" s="3" t="s">
        <v>11</v>
      </c>
      <c r="D249" s="3" t="s">
        <v>18</v>
      </c>
      <c r="E249" s="3" t="s">
        <v>47</v>
      </c>
      <c r="F249" s="3" t="s">
        <v>69</v>
      </c>
      <c r="G249" s="5">
        <v>29.95</v>
      </c>
      <c r="H249" s="3" t="s">
        <v>25</v>
      </c>
      <c r="I249" s="3" t="s">
        <v>26</v>
      </c>
      <c r="J249" s="5">
        <v>32507.119999999999</v>
      </c>
    </row>
    <row r="250" spans="1:10" x14ac:dyDescent="0.3">
      <c r="A250" s="3" t="s">
        <v>321</v>
      </c>
      <c r="B250" s="4">
        <v>45470</v>
      </c>
      <c r="C250" s="3" t="s">
        <v>11</v>
      </c>
      <c r="D250" s="3" t="s">
        <v>18</v>
      </c>
      <c r="E250" s="3" t="s">
        <v>23</v>
      </c>
      <c r="F250" s="3" t="s">
        <v>98</v>
      </c>
      <c r="G250" s="5">
        <v>41.84</v>
      </c>
      <c r="H250" s="3" t="s">
        <v>34</v>
      </c>
      <c r="I250" s="3" t="s">
        <v>26</v>
      </c>
      <c r="J250" s="5">
        <v>32465.279999999999</v>
      </c>
    </row>
    <row r="251" spans="1:10" x14ac:dyDescent="0.3">
      <c r="A251" s="3" t="s">
        <v>322</v>
      </c>
      <c r="B251" s="4">
        <v>45473</v>
      </c>
      <c r="C251" s="3" t="s">
        <v>11</v>
      </c>
      <c r="D251" s="3" t="s">
        <v>18</v>
      </c>
      <c r="E251" s="3" t="s">
        <v>23</v>
      </c>
      <c r="F251" s="3" t="s">
        <v>37</v>
      </c>
      <c r="G251" s="5">
        <v>50.82</v>
      </c>
      <c r="H251" s="3" t="s">
        <v>34</v>
      </c>
      <c r="I251" s="3" t="s">
        <v>26</v>
      </c>
      <c r="J251" s="5">
        <v>32414.46</v>
      </c>
    </row>
    <row r="252" spans="1:10" x14ac:dyDescent="0.3">
      <c r="A252" s="3" t="s">
        <v>323</v>
      </c>
      <c r="B252" s="4">
        <v>45474</v>
      </c>
      <c r="C252" s="3" t="s">
        <v>11</v>
      </c>
      <c r="D252" s="3" t="s">
        <v>12</v>
      </c>
      <c r="E252" s="3" t="s">
        <v>13</v>
      </c>
      <c r="F252" s="3" t="s">
        <v>239</v>
      </c>
      <c r="G252" s="5">
        <v>4318.6099999999997</v>
      </c>
      <c r="H252" s="3" t="s">
        <v>15</v>
      </c>
      <c r="I252" s="3" t="s">
        <v>16</v>
      </c>
      <c r="J252" s="5">
        <v>36733.07</v>
      </c>
    </row>
    <row r="253" spans="1:10" x14ac:dyDescent="0.3">
      <c r="A253" s="3" t="s">
        <v>324</v>
      </c>
      <c r="B253" s="4">
        <v>45474</v>
      </c>
      <c r="C253" s="3" t="s">
        <v>11</v>
      </c>
      <c r="D253" s="3" t="s">
        <v>18</v>
      </c>
      <c r="E253" s="3" t="s">
        <v>19</v>
      </c>
      <c r="F253" s="3" t="s">
        <v>191</v>
      </c>
      <c r="G253" s="5">
        <v>1331.06</v>
      </c>
      <c r="H253" s="3" t="s">
        <v>21</v>
      </c>
      <c r="I253" s="3" t="s">
        <v>16</v>
      </c>
      <c r="J253" s="5">
        <v>35402.01</v>
      </c>
    </row>
    <row r="254" spans="1:10" x14ac:dyDescent="0.3">
      <c r="A254" s="3" t="s">
        <v>325</v>
      </c>
      <c r="B254" s="4">
        <v>45474</v>
      </c>
      <c r="C254" s="3" t="s">
        <v>11</v>
      </c>
      <c r="D254" s="3" t="s">
        <v>18</v>
      </c>
      <c r="E254" s="3" t="s">
        <v>23</v>
      </c>
      <c r="F254" s="3" t="s">
        <v>32</v>
      </c>
      <c r="G254" s="5">
        <v>61.18</v>
      </c>
      <c r="H254" s="3" t="s">
        <v>30</v>
      </c>
      <c r="I254" s="3" t="s">
        <v>26</v>
      </c>
      <c r="J254" s="5">
        <v>35340.83</v>
      </c>
    </row>
    <row r="255" spans="1:10" x14ac:dyDescent="0.3">
      <c r="A255" s="3" t="s">
        <v>326</v>
      </c>
      <c r="B255" s="4">
        <v>45475</v>
      </c>
      <c r="C255" s="3" t="s">
        <v>36</v>
      </c>
      <c r="D255" s="3" t="s">
        <v>18</v>
      </c>
      <c r="E255" s="3" t="s">
        <v>23</v>
      </c>
      <c r="F255" s="3" t="s">
        <v>135</v>
      </c>
      <c r="G255" s="5">
        <v>63.97</v>
      </c>
      <c r="H255" s="3" t="s">
        <v>34</v>
      </c>
      <c r="I255" s="3" t="s">
        <v>26</v>
      </c>
      <c r="J255" s="5">
        <v>35276.86</v>
      </c>
    </row>
    <row r="256" spans="1:10" x14ac:dyDescent="0.3">
      <c r="A256" s="3" t="s">
        <v>327</v>
      </c>
      <c r="B256" s="4">
        <v>45476</v>
      </c>
      <c r="C256" s="3" t="s">
        <v>11</v>
      </c>
      <c r="D256" s="3" t="s">
        <v>18</v>
      </c>
      <c r="E256" s="3" t="s">
        <v>39</v>
      </c>
      <c r="F256" s="3" t="s">
        <v>170</v>
      </c>
      <c r="G256" s="5">
        <v>50.97</v>
      </c>
      <c r="H256" s="3" t="s">
        <v>30</v>
      </c>
      <c r="I256" s="3" t="s">
        <v>26</v>
      </c>
      <c r="J256" s="5">
        <v>35225.89</v>
      </c>
    </row>
    <row r="257" spans="1:10" x14ac:dyDescent="0.3">
      <c r="A257" s="3" t="s">
        <v>328</v>
      </c>
      <c r="B257" s="4">
        <v>45477</v>
      </c>
      <c r="C257" s="3" t="s">
        <v>11</v>
      </c>
      <c r="D257" s="3" t="s">
        <v>18</v>
      </c>
      <c r="E257" s="3" t="s">
        <v>28</v>
      </c>
      <c r="F257" s="3" t="s">
        <v>29</v>
      </c>
      <c r="G257" s="5">
        <v>70.599999999999994</v>
      </c>
      <c r="H257" s="3" t="s">
        <v>34</v>
      </c>
      <c r="I257" s="3" t="s">
        <v>26</v>
      </c>
      <c r="J257" s="5">
        <v>35155.29</v>
      </c>
    </row>
    <row r="258" spans="1:10" x14ac:dyDescent="0.3">
      <c r="A258" s="3" t="s">
        <v>329</v>
      </c>
      <c r="B258" s="4">
        <v>45477</v>
      </c>
      <c r="C258" s="3" t="s">
        <v>11</v>
      </c>
      <c r="D258" s="3" t="s">
        <v>18</v>
      </c>
      <c r="E258" s="3" t="s">
        <v>23</v>
      </c>
      <c r="F258" s="3" t="s">
        <v>135</v>
      </c>
      <c r="G258" s="5">
        <v>53.03</v>
      </c>
      <c r="H258" s="3" t="s">
        <v>30</v>
      </c>
      <c r="I258" s="3" t="s">
        <v>26</v>
      </c>
      <c r="J258" s="5">
        <v>35102.26</v>
      </c>
    </row>
    <row r="259" spans="1:10" x14ac:dyDescent="0.3">
      <c r="A259" s="3" t="s">
        <v>330</v>
      </c>
      <c r="B259" s="4">
        <v>45478</v>
      </c>
      <c r="C259" s="3" t="s">
        <v>11</v>
      </c>
      <c r="D259" s="3" t="s">
        <v>18</v>
      </c>
      <c r="E259" s="3" t="s">
        <v>28</v>
      </c>
      <c r="F259" s="3" t="s">
        <v>114</v>
      </c>
      <c r="G259" s="5">
        <v>155.88</v>
      </c>
      <c r="H259" s="3" t="s">
        <v>30</v>
      </c>
      <c r="I259" s="3" t="s">
        <v>26</v>
      </c>
      <c r="J259" s="5">
        <v>34946.379999999997</v>
      </c>
    </row>
    <row r="260" spans="1:10" x14ac:dyDescent="0.3">
      <c r="A260" s="3" t="s">
        <v>331</v>
      </c>
      <c r="B260" s="4">
        <v>45478</v>
      </c>
      <c r="C260" s="3" t="s">
        <v>11</v>
      </c>
      <c r="D260" s="3" t="s">
        <v>18</v>
      </c>
      <c r="E260" s="3" t="s">
        <v>47</v>
      </c>
      <c r="F260" s="3" t="s">
        <v>106</v>
      </c>
      <c r="G260" s="5">
        <v>16.47</v>
      </c>
      <c r="H260" s="3" t="s">
        <v>30</v>
      </c>
      <c r="I260" s="3" t="s">
        <v>26</v>
      </c>
      <c r="J260" s="5">
        <v>34929.910000000003</v>
      </c>
    </row>
    <row r="261" spans="1:10" x14ac:dyDescent="0.3">
      <c r="A261" s="3" t="s">
        <v>332</v>
      </c>
      <c r="B261" s="4">
        <v>45479</v>
      </c>
      <c r="C261" s="3" t="s">
        <v>11</v>
      </c>
      <c r="D261" s="3" t="s">
        <v>18</v>
      </c>
      <c r="E261" s="3" t="s">
        <v>43</v>
      </c>
      <c r="F261" s="3" t="s">
        <v>44</v>
      </c>
      <c r="G261" s="5">
        <v>105.79</v>
      </c>
      <c r="H261" s="3" t="s">
        <v>21</v>
      </c>
      <c r="I261" s="3" t="s">
        <v>16</v>
      </c>
      <c r="J261" s="5">
        <v>34824.120000000003</v>
      </c>
    </row>
    <row r="262" spans="1:10" x14ac:dyDescent="0.3">
      <c r="A262" s="3" t="s">
        <v>333</v>
      </c>
      <c r="B262" s="4">
        <v>45479</v>
      </c>
      <c r="C262" s="3" t="s">
        <v>36</v>
      </c>
      <c r="D262" s="3" t="s">
        <v>18</v>
      </c>
      <c r="E262" s="3" t="s">
        <v>28</v>
      </c>
      <c r="F262" s="3" t="s">
        <v>79</v>
      </c>
      <c r="G262" s="5">
        <v>100.99</v>
      </c>
      <c r="H262" s="3" t="s">
        <v>30</v>
      </c>
      <c r="I262" s="3" t="s">
        <v>26</v>
      </c>
      <c r="J262" s="5">
        <v>34723.129999999997</v>
      </c>
    </row>
    <row r="263" spans="1:10" x14ac:dyDescent="0.3">
      <c r="A263" s="3" t="s">
        <v>334</v>
      </c>
      <c r="B263" s="4">
        <v>45479</v>
      </c>
      <c r="C263" s="3" t="s">
        <v>11</v>
      </c>
      <c r="D263" s="3" t="s">
        <v>18</v>
      </c>
      <c r="E263" s="3" t="s">
        <v>23</v>
      </c>
      <c r="F263" s="3" t="s">
        <v>87</v>
      </c>
      <c r="G263" s="5">
        <v>84.45</v>
      </c>
      <c r="H263" s="3" t="s">
        <v>25</v>
      </c>
      <c r="I263" s="3" t="s">
        <v>26</v>
      </c>
      <c r="J263" s="5">
        <v>34638.68</v>
      </c>
    </row>
    <row r="264" spans="1:10" x14ac:dyDescent="0.3">
      <c r="A264" s="3" t="s">
        <v>335</v>
      </c>
      <c r="B264" s="4">
        <v>45479</v>
      </c>
      <c r="C264" s="3" t="s">
        <v>36</v>
      </c>
      <c r="D264" s="3" t="s">
        <v>18</v>
      </c>
      <c r="E264" s="3" t="s">
        <v>39</v>
      </c>
      <c r="F264" s="3" t="s">
        <v>179</v>
      </c>
      <c r="G264" s="5">
        <v>22.32</v>
      </c>
      <c r="H264" s="3" t="s">
        <v>34</v>
      </c>
      <c r="I264" s="3" t="s">
        <v>26</v>
      </c>
      <c r="J264" s="5">
        <v>34616.36</v>
      </c>
    </row>
    <row r="265" spans="1:10" x14ac:dyDescent="0.3">
      <c r="A265" s="3" t="s">
        <v>336</v>
      </c>
      <c r="B265" s="4">
        <v>45481</v>
      </c>
      <c r="C265" s="3" t="s">
        <v>36</v>
      </c>
      <c r="D265" s="3" t="s">
        <v>18</v>
      </c>
      <c r="E265" s="3" t="s">
        <v>43</v>
      </c>
      <c r="F265" s="3" t="s">
        <v>151</v>
      </c>
      <c r="G265" s="5">
        <v>227.37</v>
      </c>
      <c r="H265" s="3" t="s">
        <v>21</v>
      </c>
      <c r="I265" s="3" t="s">
        <v>16</v>
      </c>
      <c r="J265" s="5">
        <v>34388.99</v>
      </c>
    </row>
    <row r="266" spans="1:10" x14ac:dyDescent="0.3">
      <c r="A266" s="3" t="s">
        <v>337</v>
      </c>
      <c r="B266" s="4">
        <v>45481</v>
      </c>
      <c r="C266" s="3" t="s">
        <v>36</v>
      </c>
      <c r="D266" s="3" t="s">
        <v>18</v>
      </c>
      <c r="E266" s="3" t="s">
        <v>23</v>
      </c>
      <c r="F266" s="3" t="s">
        <v>87</v>
      </c>
      <c r="G266" s="5">
        <v>55.21</v>
      </c>
      <c r="H266" s="3" t="s">
        <v>30</v>
      </c>
      <c r="I266" s="3" t="s">
        <v>26</v>
      </c>
      <c r="J266" s="5">
        <v>34333.78</v>
      </c>
    </row>
    <row r="267" spans="1:10" x14ac:dyDescent="0.3">
      <c r="A267" s="3" t="s">
        <v>338</v>
      </c>
      <c r="B267" s="4">
        <v>45482</v>
      </c>
      <c r="C267" s="3" t="s">
        <v>36</v>
      </c>
      <c r="D267" s="3" t="s">
        <v>18</v>
      </c>
      <c r="E267" s="3" t="s">
        <v>43</v>
      </c>
      <c r="F267" s="3" t="s">
        <v>339</v>
      </c>
      <c r="G267" s="5">
        <v>115.41</v>
      </c>
      <c r="H267" s="3" t="s">
        <v>21</v>
      </c>
      <c r="I267" s="3" t="s">
        <v>16</v>
      </c>
      <c r="J267" s="5">
        <v>34218.370000000003</v>
      </c>
    </row>
    <row r="268" spans="1:10" x14ac:dyDescent="0.3">
      <c r="A268" s="3" t="s">
        <v>340</v>
      </c>
      <c r="B268" s="4">
        <v>45483</v>
      </c>
      <c r="C268" s="3" t="s">
        <v>11</v>
      </c>
      <c r="D268" s="3" t="s">
        <v>18</v>
      </c>
      <c r="E268" s="3" t="s">
        <v>43</v>
      </c>
      <c r="F268" s="3" t="s">
        <v>103</v>
      </c>
      <c r="G268" s="5">
        <v>163.94</v>
      </c>
      <c r="H268" s="3" t="s">
        <v>21</v>
      </c>
      <c r="I268" s="3" t="s">
        <v>16</v>
      </c>
      <c r="J268" s="5">
        <v>34054.43</v>
      </c>
    </row>
    <row r="269" spans="1:10" x14ac:dyDescent="0.3">
      <c r="A269" s="3" t="s">
        <v>341</v>
      </c>
      <c r="B269" s="4">
        <v>45483</v>
      </c>
      <c r="C269" s="3" t="s">
        <v>36</v>
      </c>
      <c r="D269" s="3" t="s">
        <v>18</v>
      </c>
      <c r="E269" s="3" t="s">
        <v>39</v>
      </c>
      <c r="F269" s="3" t="s">
        <v>64</v>
      </c>
      <c r="G269" s="5">
        <v>15.53</v>
      </c>
      <c r="H269" s="3" t="s">
        <v>30</v>
      </c>
      <c r="I269" s="3" t="s">
        <v>26</v>
      </c>
      <c r="J269" s="5">
        <v>34038.9</v>
      </c>
    </row>
    <row r="270" spans="1:10" x14ac:dyDescent="0.3">
      <c r="A270" s="3" t="s">
        <v>342</v>
      </c>
      <c r="B270" s="4">
        <v>45484</v>
      </c>
      <c r="C270" s="3" t="s">
        <v>36</v>
      </c>
      <c r="D270" s="3" t="s">
        <v>18</v>
      </c>
      <c r="E270" s="3" t="s">
        <v>23</v>
      </c>
      <c r="F270" s="3" t="s">
        <v>54</v>
      </c>
      <c r="G270" s="5">
        <v>55.95</v>
      </c>
      <c r="H270" s="3" t="s">
        <v>30</v>
      </c>
      <c r="I270" s="3" t="s">
        <v>26</v>
      </c>
      <c r="J270" s="5">
        <v>33982.949999999997</v>
      </c>
    </row>
    <row r="271" spans="1:10" x14ac:dyDescent="0.3">
      <c r="A271" s="3" t="s">
        <v>343</v>
      </c>
      <c r="B271" s="4">
        <v>45485</v>
      </c>
      <c r="C271" s="3" t="s">
        <v>11</v>
      </c>
      <c r="D271" s="3" t="s">
        <v>18</v>
      </c>
      <c r="E271" s="3" t="s">
        <v>47</v>
      </c>
      <c r="F271" s="3" t="s">
        <v>48</v>
      </c>
      <c r="G271" s="5">
        <v>15.26</v>
      </c>
      <c r="H271" s="3" t="s">
        <v>25</v>
      </c>
      <c r="I271" s="3" t="s">
        <v>26</v>
      </c>
      <c r="J271" s="5">
        <v>33967.69</v>
      </c>
    </row>
    <row r="272" spans="1:10" x14ac:dyDescent="0.3">
      <c r="A272" s="3" t="s">
        <v>344</v>
      </c>
      <c r="B272" s="4">
        <v>45486</v>
      </c>
      <c r="C272" s="3" t="s">
        <v>11</v>
      </c>
      <c r="D272" s="3" t="s">
        <v>18</v>
      </c>
      <c r="E272" s="3" t="s">
        <v>23</v>
      </c>
      <c r="F272" s="3" t="s">
        <v>98</v>
      </c>
      <c r="G272" s="5">
        <v>23.81</v>
      </c>
      <c r="H272" s="3" t="s">
        <v>30</v>
      </c>
      <c r="I272" s="3" t="s">
        <v>26</v>
      </c>
      <c r="J272" s="5">
        <v>33943.879999999997</v>
      </c>
    </row>
    <row r="273" spans="1:10" x14ac:dyDescent="0.3">
      <c r="A273" s="3" t="s">
        <v>345</v>
      </c>
      <c r="B273" s="4">
        <v>45488</v>
      </c>
      <c r="C273" s="3" t="s">
        <v>11</v>
      </c>
      <c r="D273" s="3" t="s">
        <v>12</v>
      </c>
      <c r="E273" s="3" t="s">
        <v>13</v>
      </c>
      <c r="F273" s="3" t="s">
        <v>14</v>
      </c>
      <c r="G273" s="5">
        <v>5273.75</v>
      </c>
      <c r="H273" s="3" t="s">
        <v>15</v>
      </c>
      <c r="I273" s="3" t="s">
        <v>16</v>
      </c>
      <c r="J273" s="5">
        <v>39217.629999999997</v>
      </c>
    </row>
    <row r="274" spans="1:10" x14ac:dyDescent="0.3">
      <c r="A274" s="3" t="s">
        <v>346</v>
      </c>
      <c r="B274" s="4">
        <v>45488</v>
      </c>
      <c r="C274" s="3" t="s">
        <v>11</v>
      </c>
      <c r="D274" s="3" t="s">
        <v>18</v>
      </c>
      <c r="E274" s="3" t="s">
        <v>47</v>
      </c>
      <c r="F274" s="3" t="s">
        <v>56</v>
      </c>
      <c r="G274" s="5">
        <v>47.75</v>
      </c>
      <c r="H274" s="3" t="s">
        <v>34</v>
      </c>
      <c r="I274" s="3" t="s">
        <v>26</v>
      </c>
      <c r="J274" s="5">
        <v>39169.879999999997</v>
      </c>
    </row>
    <row r="275" spans="1:10" x14ac:dyDescent="0.3">
      <c r="A275" s="3" t="s">
        <v>347</v>
      </c>
      <c r="B275" s="4">
        <v>45489</v>
      </c>
      <c r="C275" s="3" t="s">
        <v>11</v>
      </c>
      <c r="D275" s="3" t="s">
        <v>18</v>
      </c>
      <c r="E275" s="3" t="s">
        <v>28</v>
      </c>
      <c r="F275" s="3" t="s">
        <v>52</v>
      </c>
      <c r="G275" s="5">
        <v>123.45</v>
      </c>
      <c r="H275" s="3" t="s">
        <v>34</v>
      </c>
      <c r="I275" s="3" t="s">
        <v>26</v>
      </c>
      <c r="J275" s="5">
        <v>39046.43</v>
      </c>
    </row>
    <row r="276" spans="1:10" x14ac:dyDescent="0.3">
      <c r="A276" s="3" t="s">
        <v>348</v>
      </c>
      <c r="B276" s="4">
        <v>45489</v>
      </c>
      <c r="C276" s="3" t="s">
        <v>36</v>
      </c>
      <c r="D276" s="3" t="s">
        <v>18</v>
      </c>
      <c r="E276" s="3" t="s">
        <v>23</v>
      </c>
      <c r="F276" s="3" t="s">
        <v>98</v>
      </c>
      <c r="G276" s="5">
        <v>41.13</v>
      </c>
      <c r="H276" s="3" t="s">
        <v>25</v>
      </c>
      <c r="I276" s="3" t="s">
        <v>26</v>
      </c>
      <c r="J276" s="5">
        <v>39005.300000000003</v>
      </c>
    </row>
    <row r="277" spans="1:10" x14ac:dyDescent="0.3">
      <c r="A277" s="3" t="s">
        <v>349</v>
      </c>
      <c r="B277" s="4">
        <v>45490</v>
      </c>
      <c r="C277" s="3" t="s">
        <v>11</v>
      </c>
      <c r="D277" s="3" t="s">
        <v>18</v>
      </c>
      <c r="E277" s="3" t="s">
        <v>28</v>
      </c>
      <c r="F277" s="3" t="s">
        <v>117</v>
      </c>
      <c r="G277" s="5">
        <v>95.1</v>
      </c>
      <c r="H277" s="3" t="s">
        <v>34</v>
      </c>
      <c r="I277" s="3" t="s">
        <v>26</v>
      </c>
      <c r="J277" s="5">
        <v>38910.199999999997</v>
      </c>
    </row>
    <row r="278" spans="1:10" x14ac:dyDescent="0.3">
      <c r="A278" s="3" t="s">
        <v>350</v>
      </c>
      <c r="B278" s="4">
        <v>45492</v>
      </c>
      <c r="C278" s="3" t="s">
        <v>11</v>
      </c>
      <c r="D278" s="3" t="s">
        <v>18</v>
      </c>
      <c r="E278" s="3" t="s">
        <v>28</v>
      </c>
      <c r="F278" s="3" t="s">
        <v>58</v>
      </c>
      <c r="G278" s="5">
        <v>31.98</v>
      </c>
      <c r="H278" s="3" t="s">
        <v>34</v>
      </c>
      <c r="I278" s="3" t="s">
        <v>26</v>
      </c>
      <c r="J278" s="5">
        <v>38878.22</v>
      </c>
    </row>
    <row r="279" spans="1:10" x14ac:dyDescent="0.3">
      <c r="A279" s="3" t="s">
        <v>351</v>
      </c>
      <c r="B279" s="4">
        <v>45492</v>
      </c>
      <c r="C279" s="3" t="s">
        <v>11</v>
      </c>
      <c r="D279" s="3" t="s">
        <v>18</v>
      </c>
      <c r="E279" s="3" t="s">
        <v>47</v>
      </c>
      <c r="F279" s="3" t="s">
        <v>56</v>
      </c>
      <c r="G279" s="5">
        <v>10.91</v>
      </c>
      <c r="H279" s="3" t="s">
        <v>34</v>
      </c>
      <c r="I279" s="3" t="s">
        <v>26</v>
      </c>
      <c r="J279" s="5">
        <v>38867.31</v>
      </c>
    </row>
    <row r="280" spans="1:10" x14ac:dyDescent="0.3">
      <c r="A280" s="3" t="s">
        <v>352</v>
      </c>
      <c r="B280" s="4">
        <v>45493</v>
      </c>
      <c r="C280" s="3" t="s">
        <v>11</v>
      </c>
      <c r="D280" s="3" t="s">
        <v>18</v>
      </c>
      <c r="E280" s="3" t="s">
        <v>28</v>
      </c>
      <c r="F280" s="3" t="s">
        <v>79</v>
      </c>
      <c r="G280" s="5">
        <v>94.27</v>
      </c>
      <c r="H280" s="3" t="s">
        <v>34</v>
      </c>
      <c r="I280" s="3" t="s">
        <v>26</v>
      </c>
      <c r="J280" s="5">
        <v>38773.040000000001</v>
      </c>
    </row>
    <row r="281" spans="1:10" x14ac:dyDescent="0.3">
      <c r="A281" s="3" t="s">
        <v>353</v>
      </c>
      <c r="B281" s="4">
        <v>45495</v>
      </c>
      <c r="C281" s="3" t="s">
        <v>126</v>
      </c>
      <c r="D281" s="3" t="s">
        <v>12</v>
      </c>
      <c r="E281" s="3" t="s">
        <v>108</v>
      </c>
      <c r="F281" s="3" t="s">
        <v>354</v>
      </c>
      <c r="G281" s="5">
        <v>1070.29</v>
      </c>
      <c r="H281" s="3" t="s">
        <v>110</v>
      </c>
      <c r="I281" s="3" t="s">
        <v>26</v>
      </c>
      <c r="J281" s="5">
        <v>39843.33</v>
      </c>
    </row>
    <row r="282" spans="1:10" x14ac:dyDescent="0.3">
      <c r="A282" s="3" t="s">
        <v>355</v>
      </c>
      <c r="B282" s="4">
        <v>45496</v>
      </c>
      <c r="C282" s="3" t="s">
        <v>11</v>
      </c>
      <c r="D282" s="3" t="s">
        <v>18</v>
      </c>
      <c r="E282" s="3" t="s">
        <v>23</v>
      </c>
      <c r="F282" s="3" t="s">
        <v>32</v>
      </c>
      <c r="G282" s="5">
        <v>13.57</v>
      </c>
      <c r="H282" s="3" t="s">
        <v>34</v>
      </c>
      <c r="I282" s="3" t="s">
        <v>26</v>
      </c>
      <c r="J282" s="5">
        <v>39829.760000000002</v>
      </c>
    </row>
    <row r="283" spans="1:10" x14ac:dyDescent="0.3">
      <c r="A283" s="3" t="s">
        <v>356</v>
      </c>
      <c r="B283" s="4">
        <v>45496</v>
      </c>
      <c r="C283" s="3" t="s">
        <v>36</v>
      </c>
      <c r="D283" s="3" t="s">
        <v>18</v>
      </c>
      <c r="E283" s="3" t="s">
        <v>47</v>
      </c>
      <c r="F283" s="3" t="s">
        <v>106</v>
      </c>
      <c r="G283" s="5">
        <v>45.35</v>
      </c>
      <c r="H283" s="3" t="s">
        <v>30</v>
      </c>
      <c r="I283" s="3" t="s">
        <v>26</v>
      </c>
      <c r="J283" s="5">
        <v>39784.410000000003</v>
      </c>
    </row>
    <row r="284" spans="1:10" x14ac:dyDescent="0.3">
      <c r="A284" s="3" t="s">
        <v>357</v>
      </c>
      <c r="B284" s="4">
        <v>45496</v>
      </c>
      <c r="C284" s="3" t="s">
        <v>36</v>
      </c>
      <c r="D284" s="3" t="s">
        <v>18</v>
      </c>
      <c r="E284" s="3" t="s">
        <v>39</v>
      </c>
      <c r="F284" s="3" t="s">
        <v>156</v>
      </c>
      <c r="G284" s="5">
        <v>19.45</v>
      </c>
      <c r="H284" s="3" t="s">
        <v>30</v>
      </c>
      <c r="I284" s="3" t="s">
        <v>26</v>
      </c>
      <c r="J284" s="5">
        <v>39764.959999999999</v>
      </c>
    </row>
    <row r="285" spans="1:10" x14ac:dyDescent="0.3">
      <c r="A285" s="3" t="s">
        <v>358</v>
      </c>
      <c r="B285" s="4">
        <v>45498</v>
      </c>
      <c r="C285" s="3" t="s">
        <v>36</v>
      </c>
      <c r="D285" s="3" t="s">
        <v>18</v>
      </c>
      <c r="E285" s="3" t="s">
        <v>28</v>
      </c>
      <c r="F285" s="3" t="s">
        <v>79</v>
      </c>
      <c r="G285" s="5">
        <v>165.55</v>
      </c>
      <c r="H285" s="3" t="s">
        <v>30</v>
      </c>
      <c r="I285" s="3" t="s">
        <v>26</v>
      </c>
      <c r="J285" s="5">
        <v>39599.410000000003</v>
      </c>
    </row>
    <row r="286" spans="1:10" x14ac:dyDescent="0.3">
      <c r="A286" s="3" t="s">
        <v>359</v>
      </c>
      <c r="B286" s="4">
        <v>45498</v>
      </c>
      <c r="C286" s="3" t="s">
        <v>36</v>
      </c>
      <c r="D286" s="3" t="s">
        <v>18</v>
      </c>
      <c r="E286" s="3" t="s">
        <v>23</v>
      </c>
      <c r="F286" s="3" t="s">
        <v>98</v>
      </c>
      <c r="G286" s="5">
        <v>41.18</v>
      </c>
      <c r="H286" s="3" t="s">
        <v>30</v>
      </c>
      <c r="I286" s="3" t="s">
        <v>26</v>
      </c>
      <c r="J286" s="5">
        <v>39558.230000000003</v>
      </c>
    </row>
    <row r="287" spans="1:10" x14ac:dyDescent="0.3">
      <c r="A287" s="3" t="s">
        <v>360</v>
      </c>
      <c r="B287" s="4">
        <v>45499</v>
      </c>
      <c r="C287" s="3" t="s">
        <v>36</v>
      </c>
      <c r="D287" s="3" t="s">
        <v>18</v>
      </c>
      <c r="E287" s="3" t="s">
        <v>28</v>
      </c>
      <c r="F287" s="3" t="s">
        <v>74</v>
      </c>
      <c r="G287" s="5">
        <v>18.66</v>
      </c>
      <c r="H287" s="3" t="s">
        <v>34</v>
      </c>
      <c r="I287" s="3" t="s">
        <v>26</v>
      </c>
      <c r="J287" s="5">
        <v>39539.57</v>
      </c>
    </row>
    <row r="288" spans="1:10" x14ac:dyDescent="0.3">
      <c r="A288" s="3" t="s">
        <v>361</v>
      </c>
      <c r="B288" s="4">
        <v>45499</v>
      </c>
      <c r="C288" s="3" t="s">
        <v>36</v>
      </c>
      <c r="D288" s="3" t="s">
        <v>18</v>
      </c>
      <c r="E288" s="3" t="s">
        <v>23</v>
      </c>
      <c r="F288" s="3" t="s">
        <v>24</v>
      </c>
      <c r="G288" s="5">
        <v>37.47</v>
      </c>
      <c r="H288" s="3" t="s">
        <v>34</v>
      </c>
      <c r="I288" s="3" t="s">
        <v>26</v>
      </c>
      <c r="J288" s="5">
        <v>39502.1</v>
      </c>
    </row>
    <row r="289" spans="1:10" x14ac:dyDescent="0.3">
      <c r="A289" s="3" t="s">
        <v>362</v>
      </c>
      <c r="B289" s="4">
        <v>45499</v>
      </c>
      <c r="C289" s="3" t="s">
        <v>11</v>
      </c>
      <c r="D289" s="3" t="s">
        <v>18</v>
      </c>
      <c r="E289" s="3" t="s">
        <v>47</v>
      </c>
      <c r="F289" s="3" t="s">
        <v>69</v>
      </c>
      <c r="G289" s="5">
        <v>43.84</v>
      </c>
      <c r="H289" s="3" t="s">
        <v>30</v>
      </c>
      <c r="I289" s="3" t="s">
        <v>26</v>
      </c>
      <c r="J289" s="5">
        <v>39458.26</v>
      </c>
    </row>
    <row r="290" spans="1:10" x14ac:dyDescent="0.3">
      <c r="A290" s="3" t="s">
        <v>363</v>
      </c>
      <c r="B290" s="4">
        <v>45499</v>
      </c>
      <c r="C290" s="3" t="s">
        <v>11</v>
      </c>
      <c r="D290" s="3" t="s">
        <v>18</v>
      </c>
      <c r="E290" s="3" t="s">
        <v>39</v>
      </c>
      <c r="F290" s="3" t="s">
        <v>179</v>
      </c>
      <c r="G290" s="5">
        <v>90.34</v>
      </c>
      <c r="H290" s="3" t="s">
        <v>34</v>
      </c>
      <c r="I290" s="3" t="s">
        <v>26</v>
      </c>
      <c r="J290" s="5">
        <v>39367.919999999998</v>
      </c>
    </row>
    <row r="291" spans="1:10" x14ac:dyDescent="0.3">
      <c r="A291" s="3" t="s">
        <v>364</v>
      </c>
      <c r="B291" s="4">
        <v>45500</v>
      </c>
      <c r="C291" s="3" t="s">
        <v>36</v>
      </c>
      <c r="D291" s="3" t="s">
        <v>18</v>
      </c>
      <c r="E291" s="3" t="s">
        <v>47</v>
      </c>
      <c r="F291" s="3" t="s">
        <v>56</v>
      </c>
      <c r="G291" s="5">
        <v>22</v>
      </c>
      <c r="H291" s="3" t="s">
        <v>34</v>
      </c>
      <c r="I291" s="3" t="s">
        <v>26</v>
      </c>
      <c r="J291" s="5">
        <v>39345.919999999998</v>
      </c>
    </row>
    <row r="292" spans="1:10" x14ac:dyDescent="0.3">
      <c r="A292" s="3" t="s">
        <v>365</v>
      </c>
      <c r="B292" s="4">
        <v>45501</v>
      </c>
      <c r="C292" s="3" t="s">
        <v>11</v>
      </c>
      <c r="D292" s="3" t="s">
        <v>18</v>
      </c>
      <c r="E292" s="3" t="s">
        <v>28</v>
      </c>
      <c r="F292" s="3" t="s">
        <v>114</v>
      </c>
      <c r="G292" s="5">
        <v>35.94</v>
      </c>
      <c r="H292" s="3" t="s">
        <v>30</v>
      </c>
      <c r="I292" s="3" t="s">
        <v>26</v>
      </c>
      <c r="J292" s="5">
        <v>39309.980000000003</v>
      </c>
    </row>
    <row r="293" spans="1:10" x14ac:dyDescent="0.3">
      <c r="A293" s="3" t="s">
        <v>366</v>
      </c>
      <c r="B293" s="4">
        <v>45501</v>
      </c>
      <c r="C293" s="3" t="s">
        <v>11</v>
      </c>
      <c r="D293" s="3" t="s">
        <v>18</v>
      </c>
      <c r="E293" s="3" t="s">
        <v>47</v>
      </c>
      <c r="F293" s="3" t="s">
        <v>69</v>
      </c>
      <c r="G293" s="5">
        <v>35.43</v>
      </c>
      <c r="H293" s="3" t="s">
        <v>30</v>
      </c>
      <c r="I293" s="3" t="s">
        <v>26</v>
      </c>
      <c r="J293" s="5">
        <v>39274.550000000003</v>
      </c>
    </row>
    <row r="294" spans="1:10" x14ac:dyDescent="0.3">
      <c r="A294" s="3" t="s">
        <v>367</v>
      </c>
      <c r="B294" s="4">
        <v>45502</v>
      </c>
      <c r="C294" s="3" t="s">
        <v>36</v>
      </c>
      <c r="D294" s="3" t="s">
        <v>18</v>
      </c>
      <c r="E294" s="3" t="s">
        <v>23</v>
      </c>
      <c r="F294" s="3" t="s">
        <v>135</v>
      </c>
      <c r="G294" s="5">
        <v>34.159999999999997</v>
      </c>
      <c r="H294" s="3" t="s">
        <v>34</v>
      </c>
      <c r="I294" s="3" t="s">
        <v>26</v>
      </c>
      <c r="J294" s="5">
        <v>39240.39</v>
      </c>
    </row>
    <row r="295" spans="1:10" x14ac:dyDescent="0.3">
      <c r="A295" s="3" t="s">
        <v>368</v>
      </c>
      <c r="B295" s="4">
        <v>45502</v>
      </c>
      <c r="C295" s="3" t="s">
        <v>36</v>
      </c>
      <c r="D295" s="3" t="s">
        <v>18</v>
      </c>
      <c r="E295" s="3" t="s">
        <v>47</v>
      </c>
      <c r="F295" s="3" t="s">
        <v>60</v>
      </c>
      <c r="G295" s="5">
        <v>50.54</v>
      </c>
      <c r="H295" s="3" t="s">
        <v>25</v>
      </c>
      <c r="I295" s="3" t="s">
        <v>26</v>
      </c>
      <c r="J295" s="5">
        <v>39189.85</v>
      </c>
    </row>
    <row r="296" spans="1:10" x14ac:dyDescent="0.3">
      <c r="A296" s="3" t="s">
        <v>369</v>
      </c>
      <c r="B296" s="4">
        <v>45504</v>
      </c>
      <c r="C296" s="3" t="s">
        <v>36</v>
      </c>
      <c r="D296" s="3" t="s">
        <v>18</v>
      </c>
      <c r="E296" s="3" t="s">
        <v>28</v>
      </c>
      <c r="F296" s="3" t="s">
        <v>74</v>
      </c>
      <c r="G296" s="5">
        <v>130.66</v>
      </c>
      <c r="H296" s="3" t="s">
        <v>30</v>
      </c>
      <c r="I296" s="3" t="s">
        <v>26</v>
      </c>
      <c r="J296" s="5">
        <v>39059.19</v>
      </c>
    </row>
    <row r="297" spans="1:10" x14ac:dyDescent="0.3">
      <c r="A297" s="3" t="s">
        <v>370</v>
      </c>
      <c r="B297" s="4">
        <v>45505</v>
      </c>
      <c r="C297" s="3" t="s">
        <v>11</v>
      </c>
      <c r="D297" s="3" t="s">
        <v>12</v>
      </c>
      <c r="E297" s="3" t="s">
        <v>13</v>
      </c>
      <c r="F297" s="3" t="s">
        <v>239</v>
      </c>
      <c r="G297" s="5">
        <v>4222.3</v>
      </c>
      <c r="H297" s="3" t="s">
        <v>15</v>
      </c>
      <c r="I297" s="3" t="s">
        <v>16</v>
      </c>
      <c r="J297" s="5">
        <v>43281.49</v>
      </c>
    </row>
    <row r="298" spans="1:10" x14ac:dyDescent="0.3">
      <c r="A298" s="3" t="s">
        <v>371</v>
      </c>
      <c r="B298" s="4">
        <v>45505</v>
      </c>
      <c r="C298" s="3" t="s">
        <v>11</v>
      </c>
      <c r="D298" s="3" t="s">
        <v>18</v>
      </c>
      <c r="E298" s="3" t="s">
        <v>19</v>
      </c>
      <c r="F298" s="3" t="s">
        <v>191</v>
      </c>
      <c r="G298" s="5">
        <v>2095.98</v>
      </c>
      <c r="H298" s="3" t="s">
        <v>21</v>
      </c>
      <c r="I298" s="3" t="s">
        <v>16</v>
      </c>
      <c r="J298" s="5">
        <v>41185.51</v>
      </c>
    </row>
    <row r="299" spans="1:10" x14ac:dyDescent="0.3">
      <c r="A299" s="3" t="s">
        <v>372</v>
      </c>
      <c r="B299" s="4">
        <v>45505</v>
      </c>
      <c r="C299" s="3" t="s">
        <v>11</v>
      </c>
      <c r="D299" s="3" t="s">
        <v>18</v>
      </c>
      <c r="E299" s="3" t="s">
        <v>39</v>
      </c>
      <c r="F299" s="3" t="s">
        <v>156</v>
      </c>
      <c r="G299" s="5">
        <v>38.479999999999997</v>
      </c>
      <c r="H299" s="3" t="s">
        <v>30</v>
      </c>
      <c r="I299" s="3" t="s">
        <v>26</v>
      </c>
      <c r="J299" s="5">
        <v>41147.03</v>
      </c>
    </row>
    <row r="300" spans="1:10" x14ac:dyDescent="0.3">
      <c r="A300" s="3" t="s">
        <v>373</v>
      </c>
      <c r="B300" s="4">
        <v>45508</v>
      </c>
      <c r="C300" s="3" t="s">
        <v>11</v>
      </c>
      <c r="D300" s="3" t="s">
        <v>18</v>
      </c>
      <c r="E300" s="3" t="s">
        <v>23</v>
      </c>
      <c r="F300" s="3" t="s">
        <v>37</v>
      </c>
      <c r="G300" s="5">
        <v>23.26</v>
      </c>
      <c r="H300" s="3" t="s">
        <v>30</v>
      </c>
      <c r="I300" s="3" t="s">
        <v>26</v>
      </c>
      <c r="J300" s="5">
        <v>41123.769999999997</v>
      </c>
    </row>
    <row r="301" spans="1:10" x14ac:dyDescent="0.3">
      <c r="A301" s="3" t="s">
        <v>374</v>
      </c>
      <c r="B301" s="4">
        <v>45508</v>
      </c>
      <c r="C301" s="3" t="s">
        <v>11</v>
      </c>
      <c r="D301" s="3" t="s">
        <v>18</v>
      </c>
      <c r="E301" s="3" t="s">
        <v>47</v>
      </c>
      <c r="F301" s="3" t="s">
        <v>48</v>
      </c>
      <c r="G301" s="5">
        <v>39.33</v>
      </c>
      <c r="H301" s="3" t="s">
        <v>30</v>
      </c>
      <c r="I301" s="3" t="s">
        <v>26</v>
      </c>
      <c r="J301" s="5">
        <v>41084.44</v>
      </c>
    </row>
    <row r="302" spans="1:10" x14ac:dyDescent="0.3">
      <c r="A302" s="3" t="s">
        <v>375</v>
      </c>
      <c r="B302" s="4">
        <v>45509</v>
      </c>
      <c r="C302" s="3" t="s">
        <v>36</v>
      </c>
      <c r="D302" s="3" t="s">
        <v>18</v>
      </c>
      <c r="E302" s="3" t="s">
        <v>43</v>
      </c>
      <c r="F302" s="3" t="s">
        <v>103</v>
      </c>
      <c r="G302" s="5">
        <v>110.77</v>
      </c>
      <c r="H302" s="3" t="s">
        <v>21</v>
      </c>
      <c r="I302" s="3" t="s">
        <v>16</v>
      </c>
      <c r="J302" s="5">
        <v>40973.67</v>
      </c>
    </row>
    <row r="303" spans="1:10" x14ac:dyDescent="0.3">
      <c r="A303" s="3" t="s">
        <v>376</v>
      </c>
      <c r="B303" s="4">
        <v>45509</v>
      </c>
      <c r="C303" s="3" t="s">
        <v>36</v>
      </c>
      <c r="D303" s="3" t="s">
        <v>18</v>
      </c>
      <c r="E303" s="3" t="s">
        <v>28</v>
      </c>
      <c r="F303" s="3" t="s">
        <v>52</v>
      </c>
      <c r="G303" s="5">
        <v>137.18</v>
      </c>
      <c r="H303" s="3" t="s">
        <v>30</v>
      </c>
      <c r="I303" s="3" t="s">
        <v>26</v>
      </c>
      <c r="J303" s="5">
        <v>40836.49</v>
      </c>
    </row>
    <row r="304" spans="1:10" x14ac:dyDescent="0.3">
      <c r="A304" s="3" t="s">
        <v>377</v>
      </c>
      <c r="B304" s="4">
        <v>45509</v>
      </c>
      <c r="C304" s="3" t="s">
        <v>36</v>
      </c>
      <c r="D304" s="3" t="s">
        <v>18</v>
      </c>
      <c r="E304" s="3" t="s">
        <v>47</v>
      </c>
      <c r="F304" s="3" t="s">
        <v>106</v>
      </c>
      <c r="G304" s="5">
        <v>21.06</v>
      </c>
      <c r="H304" s="3" t="s">
        <v>34</v>
      </c>
      <c r="I304" s="3" t="s">
        <v>26</v>
      </c>
      <c r="J304" s="5">
        <v>40815.43</v>
      </c>
    </row>
    <row r="305" spans="1:10" x14ac:dyDescent="0.3">
      <c r="A305" s="3" t="s">
        <v>378</v>
      </c>
      <c r="B305" s="4">
        <v>45510</v>
      </c>
      <c r="C305" s="3" t="s">
        <v>11</v>
      </c>
      <c r="D305" s="3" t="s">
        <v>18</v>
      </c>
      <c r="E305" s="3" t="s">
        <v>23</v>
      </c>
      <c r="F305" s="3" t="s">
        <v>135</v>
      </c>
      <c r="G305" s="5">
        <v>43.81</v>
      </c>
      <c r="H305" s="3" t="s">
        <v>34</v>
      </c>
      <c r="I305" s="3" t="s">
        <v>26</v>
      </c>
      <c r="J305" s="5">
        <v>40771.620000000003</v>
      </c>
    </row>
    <row r="306" spans="1:10" x14ac:dyDescent="0.3">
      <c r="A306" s="3" t="s">
        <v>379</v>
      </c>
      <c r="B306" s="4">
        <v>45511</v>
      </c>
      <c r="C306" s="3" t="s">
        <v>36</v>
      </c>
      <c r="D306" s="3" t="s">
        <v>18</v>
      </c>
      <c r="E306" s="3" t="s">
        <v>23</v>
      </c>
      <c r="F306" s="3" t="s">
        <v>98</v>
      </c>
      <c r="G306" s="5">
        <v>76.319999999999993</v>
      </c>
      <c r="H306" s="3" t="s">
        <v>25</v>
      </c>
      <c r="I306" s="3" t="s">
        <v>26</v>
      </c>
      <c r="J306" s="5">
        <v>40695.300000000003</v>
      </c>
    </row>
    <row r="307" spans="1:10" x14ac:dyDescent="0.3">
      <c r="A307" s="3" t="s">
        <v>380</v>
      </c>
      <c r="B307" s="4">
        <v>45512</v>
      </c>
      <c r="C307" s="3" t="s">
        <v>11</v>
      </c>
      <c r="D307" s="3" t="s">
        <v>18</v>
      </c>
      <c r="E307" s="3" t="s">
        <v>43</v>
      </c>
      <c r="F307" s="3" t="s">
        <v>339</v>
      </c>
      <c r="G307" s="5">
        <v>117.46</v>
      </c>
      <c r="H307" s="3" t="s">
        <v>21</v>
      </c>
      <c r="I307" s="3" t="s">
        <v>16</v>
      </c>
      <c r="J307" s="5">
        <v>40577.839999999997</v>
      </c>
    </row>
    <row r="308" spans="1:10" x14ac:dyDescent="0.3">
      <c r="A308" s="3" t="s">
        <v>381</v>
      </c>
      <c r="B308" s="4">
        <v>45512</v>
      </c>
      <c r="C308" s="3" t="s">
        <v>36</v>
      </c>
      <c r="D308" s="3" t="s">
        <v>18</v>
      </c>
      <c r="E308" s="3" t="s">
        <v>47</v>
      </c>
      <c r="F308" s="3" t="s">
        <v>56</v>
      </c>
      <c r="G308" s="5">
        <v>56.48</v>
      </c>
      <c r="H308" s="3" t="s">
        <v>25</v>
      </c>
      <c r="I308" s="3" t="s">
        <v>26</v>
      </c>
      <c r="J308" s="5">
        <v>40521.360000000001</v>
      </c>
    </row>
    <row r="309" spans="1:10" x14ac:dyDescent="0.3">
      <c r="A309" s="3" t="s">
        <v>382</v>
      </c>
      <c r="B309" s="4">
        <v>45513</v>
      </c>
      <c r="C309" s="3" t="s">
        <v>11</v>
      </c>
      <c r="D309" s="3" t="s">
        <v>18</v>
      </c>
      <c r="E309" s="3" t="s">
        <v>28</v>
      </c>
      <c r="F309" s="3" t="s">
        <v>74</v>
      </c>
      <c r="G309" s="5">
        <v>83.9</v>
      </c>
      <c r="H309" s="3" t="s">
        <v>34</v>
      </c>
      <c r="I309" s="3" t="s">
        <v>26</v>
      </c>
      <c r="J309" s="5">
        <v>40437.46</v>
      </c>
    </row>
    <row r="310" spans="1:10" x14ac:dyDescent="0.3">
      <c r="A310" s="3" t="s">
        <v>383</v>
      </c>
      <c r="B310" s="4">
        <v>45513</v>
      </c>
      <c r="C310" s="3" t="s">
        <v>11</v>
      </c>
      <c r="D310" s="3" t="s">
        <v>18</v>
      </c>
      <c r="E310" s="3" t="s">
        <v>23</v>
      </c>
      <c r="F310" s="3" t="s">
        <v>98</v>
      </c>
      <c r="G310" s="5">
        <v>26.37</v>
      </c>
      <c r="H310" s="3" t="s">
        <v>25</v>
      </c>
      <c r="I310" s="3" t="s">
        <v>26</v>
      </c>
      <c r="J310" s="5">
        <v>40411.089999999997</v>
      </c>
    </row>
    <row r="311" spans="1:10" x14ac:dyDescent="0.3">
      <c r="A311" s="3" t="s">
        <v>384</v>
      </c>
      <c r="B311" s="4">
        <v>45514</v>
      </c>
      <c r="C311" s="3" t="s">
        <v>36</v>
      </c>
      <c r="D311" s="3" t="s">
        <v>18</v>
      </c>
      <c r="E311" s="3" t="s">
        <v>43</v>
      </c>
      <c r="F311" s="3" t="s">
        <v>50</v>
      </c>
      <c r="G311" s="5">
        <v>217.15</v>
      </c>
      <c r="H311" s="3" t="s">
        <v>21</v>
      </c>
      <c r="I311" s="3" t="s">
        <v>16</v>
      </c>
      <c r="J311" s="5">
        <v>40193.94</v>
      </c>
    </row>
    <row r="312" spans="1:10" x14ac:dyDescent="0.3">
      <c r="A312" s="3" t="s">
        <v>385</v>
      </c>
      <c r="B312" s="4">
        <v>45514</v>
      </c>
      <c r="C312" s="3" t="s">
        <v>36</v>
      </c>
      <c r="D312" s="3" t="s">
        <v>18</v>
      </c>
      <c r="E312" s="3" t="s">
        <v>23</v>
      </c>
      <c r="F312" s="3" t="s">
        <v>32</v>
      </c>
      <c r="G312" s="5">
        <v>38.14</v>
      </c>
      <c r="H312" s="3" t="s">
        <v>34</v>
      </c>
      <c r="I312" s="3" t="s">
        <v>26</v>
      </c>
      <c r="J312" s="5">
        <v>40155.800000000003</v>
      </c>
    </row>
    <row r="313" spans="1:10" x14ac:dyDescent="0.3">
      <c r="A313" s="3" t="s">
        <v>386</v>
      </c>
      <c r="B313" s="4">
        <v>45515</v>
      </c>
      <c r="C313" s="3" t="s">
        <v>11</v>
      </c>
      <c r="D313" s="3" t="s">
        <v>18</v>
      </c>
      <c r="E313" s="3" t="s">
        <v>28</v>
      </c>
      <c r="F313" s="3" t="s">
        <v>58</v>
      </c>
      <c r="G313" s="5">
        <v>47.52</v>
      </c>
      <c r="H313" s="3" t="s">
        <v>30</v>
      </c>
      <c r="I313" s="3" t="s">
        <v>26</v>
      </c>
      <c r="J313" s="5">
        <v>40108.28</v>
      </c>
    </row>
    <row r="314" spans="1:10" x14ac:dyDescent="0.3">
      <c r="A314" s="3" t="s">
        <v>387</v>
      </c>
      <c r="B314" s="4">
        <v>45516</v>
      </c>
      <c r="C314" s="3" t="s">
        <v>126</v>
      </c>
      <c r="D314" s="3" t="s">
        <v>12</v>
      </c>
      <c r="E314" s="3" t="s">
        <v>108</v>
      </c>
      <c r="F314" s="3" t="s">
        <v>388</v>
      </c>
      <c r="G314" s="5">
        <v>493.53</v>
      </c>
      <c r="H314" s="3" t="s">
        <v>110</v>
      </c>
      <c r="I314" s="3" t="s">
        <v>26</v>
      </c>
      <c r="J314" s="5">
        <v>40601.81</v>
      </c>
    </row>
    <row r="315" spans="1:10" x14ac:dyDescent="0.3">
      <c r="A315" s="3" t="s">
        <v>389</v>
      </c>
      <c r="B315" s="4">
        <v>45516</v>
      </c>
      <c r="C315" s="3" t="s">
        <v>11</v>
      </c>
      <c r="D315" s="3" t="s">
        <v>18</v>
      </c>
      <c r="E315" s="3" t="s">
        <v>47</v>
      </c>
      <c r="F315" s="3" t="s">
        <v>48</v>
      </c>
      <c r="G315" s="5">
        <v>47.21</v>
      </c>
      <c r="H315" s="3" t="s">
        <v>30</v>
      </c>
      <c r="I315" s="3" t="s">
        <v>26</v>
      </c>
      <c r="J315" s="5">
        <v>40554.6</v>
      </c>
    </row>
    <row r="316" spans="1:10" x14ac:dyDescent="0.3">
      <c r="A316" s="3" t="s">
        <v>390</v>
      </c>
      <c r="B316" s="4">
        <v>45517</v>
      </c>
      <c r="C316" s="3" t="s">
        <v>11</v>
      </c>
      <c r="D316" s="3" t="s">
        <v>18</v>
      </c>
      <c r="E316" s="3" t="s">
        <v>28</v>
      </c>
      <c r="F316" s="3" t="s">
        <v>117</v>
      </c>
      <c r="G316" s="5">
        <v>159.74</v>
      </c>
      <c r="H316" s="3" t="s">
        <v>34</v>
      </c>
      <c r="I316" s="3" t="s">
        <v>26</v>
      </c>
      <c r="J316" s="5">
        <v>40394.86</v>
      </c>
    </row>
    <row r="317" spans="1:10" x14ac:dyDescent="0.3">
      <c r="A317" s="3" t="s">
        <v>391</v>
      </c>
      <c r="B317" s="4">
        <v>45517</v>
      </c>
      <c r="C317" s="3" t="s">
        <v>36</v>
      </c>
      <c r="D317" s="3" t="s">
        <v>18</v>
      </c>
      <c r="E317" s="3" t="s">
        <v>47</v>
      </c>
      <c r="F317" s="3" t="s">
        <v>48</v>
      </c>
      <c r="G317" s="5">
        <v>9.7799999999999994</v>
      </c>
      <c r="H317" s="3" t="s">
        <v>30</v>
      </c>
      <c r="I317" s="3" t="s">
        <v>26</v>
      </c>
      <c r="J317" s="5">
        <v>40385.08</v>
      </c>
    </row>
    <row r="318" spans="1:10" x14ac:dyDescent="0.3">
      <c r="A318" s="3" t="s">
        <v>392</v>
      </c>
      <c r="B318" s="4">
        <v>45519</v>
      </c>
      <c r="C318" s="3" t="s">
        <v>11</v>
      </c>
      <c r="D318" s="3" t="s">
        <v>12</v>
      </c>
      <c r="E318" s="3" t="s">
        <v>13</v>
      </c>
      <c r="F318" s="3" t="s">
        <v>14</v>
      </c>
      <c r="G318" s="5">
        <v>4839.95</v>
      </c>
      <c r="H318" s="3" t="s">
        <v>15</v>
      </c>
      <c r="I318" s="3" t="s">
        <v>16</v>
      </c>
      <c r="J318" s="5">
        <v>45225.03</v>
      </c>
    </row>
    <row r="319" spans="1:10" x14ac:dyDescent="0.3">
      <c r="A319" s="3" t="s">
        <v>393</v>
      </c>
      <c r="B319" s="4">
        <v>45520</v>
      </c>
      <c r="C319" s="3" t="s">
        <v>11</v>
      </c>
      <c r="D319" s="3" t="s">
        <v>18</v>
      </c>
      <c r="E319" s="3" t="s">
        <v>23</v>
      </c>
      <c r="F319" s="3" t="s">
        <v>76</v>
      </c>
      <c r="G319" s="5">
        <v>9.2899999999999991</v>
      </c>
      <c r="H319" s="3" t="s">
        <v>30</v>
      </c>
      <c r="I319" s="3" t="s">
        <v>26</v>
      </c>
      <c r="J319" s="5">
        <v>45215.74</v>
      </c>
    </row>
    <row r="320" spans="1:10" x14ac:dyDescent="0.3">
      <c r="A320" s="3" t="s">
        <v>394</v>
      </c>
      <c r="B320" s="4">
        <v>45520</v>
      </c>
      <c r="C320" s="3" t="s">
        <v>11</v>
      </c>
      <c r="D320" s="3" t="s">
        <v>18</v>
      </c>
      <c r="E320" s="3" t="s">
        <v>39</v>
      </c>
      <c r="F320" s="3" t="s">
        <v>186</v>
      </c>
      <c r="G320" s="5">
        <v>58.3</v>
      </c>
      <c r="H320" s="3" t="s">
        <v>34</v>
      </c>
      <c r="I320" s="3" t="s">
        <v>26</v>
      </c>
      <c r="J320" s="5">
        <v>45157.440000000002</v>
      </c>
    </row>
    <row r="321" spans="1:10" x14ac:dyDescent="0.3">
      <c r="A321" s="3" t="s">
        <v>395</v>
      </c>
      <c r="B321" s="4">
        <v>45521</v>
      </c>
      <c r="C321" s="3" t="s">
        <v>126</v>
      </c>
      <c r="D321" s="3" t="s">
        <v>12</v>
      </c>
      <c r="E321" s="3" t="s">
        <v>108</v>
      </c>
      <c r="F321" s="3" t="s">
        <v>109</v>
      </c>
      <c r="G321" s="5">
        <v>984.69</v>
      </c>
      <c r="H321" s="3" t="s">
        <v>110</v>
      </c>
      <c r="I321" s="3" t="s">
        <v>26</v>
      </c>
      <c r="J321" s="5">
        <v>46142.13</v>
      </c>
    </row>
    <row r="322" spans="1:10" x14ac:dyDescent="0.3">
      <c r="A322" s="3" t="s">
        <v>396</v>
      </c>
      <c r="B322" s="4">
        <v>45522</v>
      </c>
      <c r="C322" s="3" t="s">
        <v>36</v>
      </c>
      <c r="D322" s="3" t="s">
        <v>18</v>
      </c>
      <c r="E322" s="3" t="s">
        <v>28</v>
      </c>
      <c r="F322" s="3" t="s">
        <v>74</v>
      </c>
      <c r="G322" s="5">
        <v>172.6</v>
      </c>
      <c r="H322" s="3" t="s">
        <v>30</v>
      </c>
      <c r="I322" s="3" t="s">
        <v>26</v>
      </c>
      <c r="J322" s="5">
        <v>45969.53</v>
      </c>
    </row>
    <row r="323" spans="1:10" x14ac:dyDescent="0.3">
      <c r="A323" s="3" t="s">
        <v>397</v>
      </c>
      <c r="B323" s="4">
        <v>45522</v>
      </c>
      <c r="C323" s="3" t="s">
        <v>11</v>
      </c>
      <c r="D323" s="3" t="s">
        <v>18</v>
      </c>
      <c r="E323" s="3" t="s">
        <v>23</v>
      </c>
      <c r="F323" s="3" t="s">
        <v>37</v>
      </c>
      <c r="G323" s="5">
        <v>32.909999999999997</v>
      </c>
      <c r="H323" s="3" t="s">
        <v>30</v>
      </c>
      <c r="I323" s="3" t="s">
        <v>26</v>
      </c>
      <c r="J323" s="5">
        <v>45936.62</v>
      </c>
    </row>
    <row r="324" spans="1:10" x14ac:dyDescent="0.3">
      <c r="A324" s="3" t="s">
        <v>398</v>
      </c>
      <c r="B324" s="4">
        <v>45523</v>
      </c>
      <c r="C324" s="3" t="s">
        <v>36</v>
      </c>
      <c r="D324" s="3" t="s">
        <v>18</v>
      </c>
      <c r="E324" s="3" t="s">
        <v>23</v>
      </c>
      <c r="F324" s="3" t="s">
        <v>98</v>
      </c>
      <c r="G324" s="5">
        <v>42.21</v>
      </c>
      <c r="H324" s="3" t="s">
        <v>30</v>
      </c>
      <c r="I324" s="3" t="s">
        <v>26</v>
      </c>
      <c r="J324" s="5">
        <v>45894.41</v>
      </c>
    </row>
    <row r="325" spans="1:10" x14ac:dyDescent="0.3">
      <c r="A325" s="3" t="s">
        <v>399</v>
      </c>
      <c r="B325" s="4">
        <v>45524</v>
      </c>
      <c r="C325" s="3" t="s">
        <v>11</v>
      </c>
      <c r="D325" s="3" t="s">
        <v>18</v>
      </c>
      <c r="E325" s="3" t="s">
        <v>23</v>
      </c>
      <c r="F325" s="3" t="s">
        <v>32</v>
      </c>
      <c r="G325" s="5">
        <v>75.38</v>
      </c>
      <c r="H325" s="3" t="s">
        <v>25</v>
      </c>
      <c r="I325" s="3" t="s">
        <v>26</v>
      </c>
      <c r="J325" s="5">
        <v>45819.03</v>
      </c>
    </row>
    <row r="326" spans="1:10" x14ac:dyDescent="0.3">
      <c r="A326" s="3" t="s">
        <v>400</v>
      </c>
      <c r="B326" s="4">
        <v>45525</v>
      </c>
      <c r="C326" s="3" t="s">
        <v>11</v>
      </c>
      <c r="D326" s="3" t="s">
        <v>18</v>
      </c>
      <c r="E326" s="3" t="s">
        <v>23</v>
      </c>
      <c r="F326" s="3" t="s">
        <v>98</v>
      </c>
      <c r="G326" s="5">
        <v>76.39</v>
      </c>
      <c r="H326" s="3" t="s">
        <v>34</v>
      </c>
      <c r="I326" s="3" t="s">
        <v>26</v>
      </c>
      <c r="J326" s="5">
        <v>45742.64</v>
      </c>
    </row>
    <row r="327" spans="1:10" x14ac:dyDescent="0.3">
      <c r="A327" s="3" t="s">
        <v>401</v>
      </c>
      <c r="B327" s="4">
        <v>45527</v>
      </c>
      <c r="C327" s="3" t="s">
        <v>36</v>
      </c>
      <c r="D327" s="3" t="s">
        <v>18</v>
      </c>
      <c r="E327" s="3" t="s">
        <v>23</v>
      </c>
      <c r="F327" s="3" t="s">
        <v>135</v>
      </c>
      <c r="G327" s="5">
        <v>43.21</v>
      </c>
      <c r="H327" s="3" t="s">
        <v>30</v>
      </c>
      <c r="I327" s="3" t="s">
        <v>26</v>
      </c>
      <c r="J327" s="5">
        <v>45699.43</v>
      </c>
    </row>
    <row r="328" spans="1:10" x14ac:dyDescent="0.3">
      <c r="A328" s="3" t="s">
        <v>402</v>
      </c>
      <c r="B328" s="4">
        <v>45528</v>
      </c>
      <c r="C328" s="3" t="s">
        <v>36</v>
      </c>
      <c r="D328" s="3" t="s">
        <v>18</v>
      </c>
      <c r="E328" s="3" t="s">
        <v>23</v>
      </c>
      <c r="F328" s="3" t="s">
        <v>24</v>
      </c>
      <c r="G328" s="5">
        <v>54.89</v>
      </c>
      <c r="H328" s="3" t="s">
        <v>30</v>
      </c>
      <c r="I328" s="3" t="s">
        <v>26</v>
      </c>
      <c r="J328" s="5">
        <v>45644.54</v>
      </c>
    </row>
    <row r="329" spans="1:10" x14ac:dyDescent="0.3">
      <c r="A329" s="3" t="s">
        <v>403</v>
      </c>
      <c r="B329" s="4">
        <v>45528</v>
      </c>
      <c r="C329" s="3" t="s">
        <v>11</v>
      </c>
      <c r="D329" s="3" t="s">
        <v>18</v>
      </c>
      <c r="E329" s="3" t="s">
        <v>47</v>
      </c>
      <c r="F329" s="3" t="s">
        <v>106</v>
      </c>
      <c r="G329" s="5">
        <v>10.29</v>
      </c>
      <c r="H329" s="3" t="s">
        <v>25</v>
      </c>
      <c r="I329" s="3" t="s">
        <v>26</v>
      </c>
      <c r="J329" s="5">
        <v>45634.25</v>
      </c>
    </row>
    <row r="330" spans="1:10" x14ac:dyDescent="0.3">
      <c r="A330" s="3" t="s">
        <v>404</v>
      </c>
      <c r="B330" s="4">
        <v>45529</v>
      </c>
      <c r="C330" s="3" t="s">
        <v>11</v>
      </c>
      <c r="D330" s="3" t="s">
        <v>18</v>
      </c>
      <c r="E330" s="3" t="s">
        <v>23</v>
      </c>
      <c r="F330" s="3" t="s">
        <v>37</v>
      </c>
      <c r="G330" s="5">
        <v>69.02</v>
      </c>
      <c r="H330" s="3" t="s">
        <v>34</v>
      </c>
      <c r="I330" s="3" t="s">
        <v>26</v>
      </c>
      <c r="J330" s="5">
        <v>45565.23</v>
      </c>
    </row>
    <row r="331" spans="1:10" x14ac:dyDescent="0.3">
      <c r="A331" s="3" t="s">
        <v>405</v>
      </c>
      <c r="B331" s="4">
        <v>45530</v>
      </c>
      <c r="C331" s="3" t="s">
        <v>11</v>
      </c>
      <c r="D331" s="3" t="s">
        <v>18</v>
      </c>
      <c r="E331" s="3" t="s">
        <v>23</v>
      </c>
      <c r="F331" s="3" t="s">
        <v>54</v>
      </c>
      <c r="G331" s="5">
        <v>83.59</v>
      </c>
      <c r="H331" s="3" t="s">
        <v>25</v>
      </c>
      <c r="I331" s="3" t="s">
        <v>26</v>
      </c>
      <c r="J331" s="5">
        <v>45481.64</v>
      </c>
    </row>
    <row r="332" spans="1:10" x14ac:dyDescent="0.3">
      <c r="A332" s="3" t="s">
        <v>406</v>
      </c>
      <c r="B332" s="4">
        <v>45531</v>
      </c>
      <c r="C332" s="3" t="s">
        <v>11</v>
      </c>
      <c r="D332" s="3" t="s">
        <v>18</v>
      </c>
      <c r="E332" s="3" t="s">
        <v>28</v>
      </c>
      <c r="F332" s="3" t="s">
        <v>52</v>
      </c>
      <c r="G332" s="5">
        <v>141.28</v>
      </c>
      <c r="H332" s="3" t="s">
        <v>30</v>
      </c>
      <c r="I332" s="3" t="s">
        <v>26</v>
      </c>
      <c r="J332" s="5">
        <v>45340.36</v>
      </c>
    </row>
    <row r="333" spans="1:10" x14ac:dyDescent="0.3">
      <c r="A333" s="3" t="s">
        <v>407</v>
      </c>
      <c r="B333" s="4">
        <v>45532</v>
      </c>
      <c r="C333" s="3" t="s">
        <v>11</v>
      </c>
      <c r="D333" s="3" t="s">
        <v>18</v>
      </c>
      <c r="E333" s="3" t="s">
        <v>28</v>
      </c>
      <c r="F333" s="3" t="s">
        <v>79</v>
      </c>
      <c r="G333" s="5">
        <v>58.98</v>
      </c>
      <c r="H333" s="3" t="s">
        <v>34</v>
      </c>
      <c r="I333" s="3" t="s">
        <v>26</v>
      </c>
      <c r="J333" s="5">
        <v>45281.38</v>
      </c>
    </row>
    <row r="334" spans="1:10" x14ac:dyDescent="0.3">
      <c r="A334" s="3" t="s">
        <v>408</v>
      </c>
      <c r="B334" s="4">
        <v>45532</v>
      </c>
      <c r="C334" s="3" t="s">
        <v>11</v>
      </c>
      <c r="D334" s="3" t="s">
        <v>18</v>
      </c>
      <c r="E334" s="3" t="s">
        <v>39</v>
      </c>
      <c r="F334" s="3" t="s">
        <v>170</v>
      </c>
      <c r="G334" s="5">
        <v>30.85</v>
      </c>
      <c r="H334" s="3" t="s">
        <v>34</v>
      </c>
      <c r="I334" s="3" t="s">
        <v>26</v>
      </c>
      <c r="J334" s="5">
        <v>45250.53</v>
      </c>
    </row>
    <row r="335" spans="1:10" x14ac:dyDescent="0.3">
      <c r="A335" s="3" t="s">
        <v>409</v>
      </c>
      <c r="B335" s="4">
        <v>45533</v>
      </c>
      <c r="C335" s="3" t="s">
        <v>11</v>
      </c>
      <c r="D335" s="3" t="s">
        <v>18</v>
      </c>
      <c r="E335" s="3" t="s">
        <v>23</v>
      </c>
      <c r="F335" s="3" t="s">
        <v>24</v>
      </c>
      <c r="G335" s="5">
        <v>59.08</v>
      </c>
      <c r="H335" s="3" t="s">
        <v>34</v>
      </c>
      <c r="I335" s="3" t="s">
        <v>26</v>
      </c>
      <c r="J335" s="5">
        <v>45191.45</v>
      </c>
    </row>
    <row r="336" spans="1:10" x14ac:dyDescent="0.3">
      <c r="A336" s="3" t="s">
        <v>410</v>
      </c>
      <c r="B336" s="4">
        <v>45535</v>
      </c>
      <c r="C336" s="3" t="s">
        <v>11</v>
      </c>
      <c r="D336" s="3" t="s">
        <v>18</v>
      </c>
      <c r="E336" s="3" t="s">
        <v>28</v>
      </c>
      <c r="F336" s="3" t="s">
        <v>117</v>
      </c>
      <c r="G336" s="5">
        <v>63.91</v>
      </c>
      <c r="H336" s="3" t="s">
        <v>34</v>
      </c>
      <c r="I336" s="3" t="s">
        <v>26</v>
      </c>
      <c r="J336" s="5">
        <v>45127.54</v>
      </c>
    </row>
    <row r="337" spans="1:10" x14ac:dyDescent="0.3">
      <c r="A337" s="3" t="s">
        <v>411</v>
      </c>
      <c r="B337" s="4">
        <v>45535</v>
      </c>
      <c r="C337" s="3" t="s">
        <v>36</v>
      </c>
      <c r="D337" s="3" t="s">
        <v>18</v>
      </c>
      <c r="E337" s="3" t="s">
        <v>23</v>
      </c>
      <c r="F337" s="3" t="s">
        <v>24</v>
      </c>
      <c r="G337" s="5">
        <v>60.34</v>
      </c>
      <c r="H337" s="3" t="s">
        <v>30</v>
      </c>
      <c r="I337" s="3" t="s">
        <v>26</v>
      </c>
      <c r="J337" s="5">
        <v>45067.199999999997</v>
      </c>
    </row>
    <row r="338" spans="1:10" x14ac:dyDescent="0.3">
      <c r="A338" s="3" t="s">
        <v>412</v>
      </c>
      <c r="B338" s="4">
        <v>45535</v>
      </c>
      <c r="C338" s="3" t="s">
        <v>36</v>
      </c>
      <c r="D338" s="3" t="s">
        <v>18</v>
      </c>
      <c r="E338" s="3" t="s">
        <v>47</v>
      </c>
      <c r="F338" s="3" t="s">
        <v>56</v>
      </c>
      <c r="G338" s="5">
        <v>8.15</v>
      </c>
      <c r="H338" s="3" t="s">
        <v>34</v>
      </c>
      <c r="I338" s="3" t="s">
        <v>26</v>
      </c>
      <c r="J338" s="5">
        <v>45059.05</v>
      </c>
    </row>
    <row r="339" spans="1:10" x14ac:dyDescent="0.3">
      <c r="A339" s="3" t="s">
        <v>413</v>
      </c>
      <c r="B339" s="4">
        <v>45536</v>
      </c>
      <c r="C339" s="3" t="s">
        <v>11</v>
      </c>
      <c r="D339" s="3" t="s">
        <v>12</v>
      </c>
      <c r="E339" s="3" t="s">
        <v>13</v>
      </c>
      <c r="F339" s="3" t="s">
        <v>14</v>
      </c>
      <c r="G339" s="5">
        <v>4953.12</v>
      </c>
      <c r="H339" s="3" t="s">
        <v>15</v>
      </c>
      <c r="I339" s="3" t="s">
        <v>16</v>
      </c>
      <c r="J339" s="5">
        <v>50012.17</v>
      </c>
    </row>
    <row r="340" spans="1:10" x14ac:dyDescent="0.3">
      <c r="A340" s="3" t="s">
        <v>414</v>
      </c>
      <c r="B340" s="4">
        <v>45536</v>
      </c>
      <c r="C340" s="3" t="s">
        <v>36</v>
      </c>
      <c r="D340" s="3" t="s">
        <v>18</v>
      </c>
      <c r="E340" s="3" t="s">
        <v>23</v>
      </c>
      <c r="F340" s="3" t="s">
        <v>54</v>
      </c>
      <c r="G340" s="5">
        <v>16.11</v>
      </c>
      <c r="H340" s="3" t="s">
        <v>34</v>
      </c>
      <c r="I340" s="3" t="s">
        <v>26</v>
      </c>
      <c r="J340" s="5">
        <v>49996.06</v>
      </c>
    </row>
    <row r="341" spans="1:10" x14ac:dyDescent="0.3">
      <c r="A341" s="3" t="s">
        <v>415</v>
      </c>
      <c r="B341" s="4">
        <v>45537</v>
      </c>
      <c r="C341" s="3" t="s">
        <v>11</v>
      </c>
      <c r="D341" s="3" t="s">
        <v>18</v>
      </c>
      <c r="E341" s="3" t="s">
        <v>28</v>
      </c>
      <c r="F341" s="3" t="s">
        <v>117</v>
      </c>
      <c r="G341" s="5">
        <v>15.53</v>
      </c>
      <c r="H341" s="3" t="s">
        <v>34</v>
      </c>
      <c r="I341" s="3" t="s">
        <v>26</v>
      </c>
      <c r="J341" s="5">
        <v>49980.53</v>
      </c>
    </row>
    <row r="342" spans="1:10" x14ac:dyDescent="0.3">
      <c r="A342" s="3" t="s">
        <v>416</v>
      </c>
      <c r="B342" s="4">
        <v>45537</v>
      </c>
      <c r="C342" s="3" t="s">
        <v>36</v>
      </c>
      <c r="D342" s="3" t="s">
        <v>18</v>
      </c>
      <c r="E342" s="3" t="s">
        <v>23</v>
      </c>
      <c r="F342" s="3" t="s">
        <v>32</v>
      </c>
      <c r="G342" s="5">
        <v>77.540000000000006</v>
      </c>
      <c r="H342" s="3" t="s">
        <v>25</v>
      </c>
      <c r="I342" s="3" t="s">
        <v>26</v>
      </c>
      <c r="J342" s="5">
        <v>49902.99</v>
      </c>
    </row>
    <row r="343" spans="1:10" x14ac:dyDescent="0.3">
      <c r="A343" s="3" t="s">
        <v>417</v>
      </c>
      <c r="B343" s="4">
        <v>45538</v>
      </c>
      <c r="C343" s="3" t="s">
        <v>11</v>
      </c>
      <c r="D343" s="3" t="s">
        <v>18</v>
      </c>
      <c r="E343" s="3" t="s">
        <v>28</v>
      </c>
      <c r="F343" s="3" t="s">
        <v>52</v>
      </c>
      <c r="G343" s="5">
        <v>98.62</v>
      </c>
      <c r="H343" s="3" t="s">
        <v>30</v>
      </c>
      <c r="I343" s="3" t="s">
        <v>26</v>
      </c>
      <c r="J343" s="5">
        <v>49804.37</v>
      </c>
    </row>
    <row r="344" spans="1:10" x14ac:dyDescent="0.3">
      <c r="A344" s="3" t="s">
        <v>418</v>
      </c>
      <c r="B344" s="4">
        <v>45538</v>
      </c>
      <c r="C344" s="3" t="s">
        <v>36</v>
      </c>
      <c r="D344" s="3" t="s">
        <v>18</v>
      </c>
      <c r="E344" s="3" t="s">
        <v>23</v>
      </c>
      <c r="F344" s="3" t="s">
        <v>76</v>
      </c>
      <c r="G344" s="5">
        <v>72.89</v>
      </c>
      <c r="H344" s="3" t="s">
        <v>34</v>
      </c>
      <c r="I344" s="3" t="s">
        <v>26</v>
      </c>
      <c r="J344" s="5">
        <v>49731.48</v>
      </c>
    </row>
    <row r="345" spans="1:10" x14ac:dyDescent="0.3">
      <c r="A345" s="3" t="s">
        <v>419</v>
      </c>
      <c r="B345" s="4">
        <v>45539</v>
      </c>
      <c r="C345" s="3" t="s">
        <v>36</v>
      </c>
      <c r="D345" s="3" t="s">
        <v>18</v>
      </c>
      <c r="E345" s="3" t="s">
        <v>47</v>
      </c>
      <c r="F345" s="3" t="s">
        <v>82</v>
      </c>
      <c r="G345" s="5">
        <v>7.23</v>
      </c>
      <c r="H345" s="3" t="s">
        <v>25</v>
      </c>
      <c r="I345" s="3" t="s">
        <v>26</v>
      </c>
      <c r="J345" s="5">
        <v>49724.25</v>
      </c>
    </row>
    <row r="346" spans="1:10" x14ac:dyDescent="0.3">
      <c r="A346" s="3" t="s">
        <v>420</v>
      </c>
      <c r="B346" s="4">
        <v>45540</v>
      </c>
      <c r="C346" s="3" t="s">
        <v>36</v>
      </c>
      <c r="D346" s="3" t="s">
        <v>18</v>
      </c>
      <c r="E346" s="3" t="s">
        <v>43</v>
      </c>
      <c r="F346" s="3" t="s">
        <v>103</v>
      </c>
      <c r="G346" s="5">
        <v>76.33</v>
      </c>
      <c r="H346" s="3" t="s">
        <v>21</v>
      </c>
      <c r="I346" s="3" t="s">
        <v>16</v>
      </c>
      <c r="J346" s="5">
        <v>49647.92</v>
      </c>
    </row>
    <row r="347" spans="1:10" x14ac:dyDescent="0.3">
      <c r="A347" s="3" t="s">
        <v>421</v>
      </c>
      <c r="B347" s="4">
        <v>45541</v>
      </c>
      <c r="C347" s="3" t="s">
        <v>36</v>
      </c>
      <c r="D347" s="3" t="s">
        <v>18</v>
      </c>
      <c r="E347" s="3" t="s">
        <v>23</v>
      </c>
      <c r="F347" s="3" t="s">
        <v>54</v>
      </c>
      <c r="G347" s="5">
        <v>23.83</v>
      </c>
      <c r="H347" s="3" t="s">
        <v>25</v>
      </c>
      <c r="I347" s="3" t="s">
        <v>26</v>
      </c>
      <c r="J347" s="5">
        <v>49624.09</v>
      </c>
    </row>
    <row r="348" spans="1:10" x14ac:dyDescent="0.3">
      <c r="A348" s="3" t="s">
        <v>422</v>
      </c>
      <c r="B348" s="4">
        <v>45542</v>
      </c>
      <c r="C348" s="3" t="s">
        <v>11</v>
      </c>
      <c r="D348" s="3" t="s">
        <v>18</v>
      </c>
      <c r="E348" s="3" t="s">
        <v>43</v>
      </c>
      <c r="F348" s="3" t="s">
        <v>50</v>
      </c>
      <c r="G348" s="5">
        <v>248.59</v>
      </c>
      <c r="H348" s="3" t="s">
        <v>21</v>
      </c>
      <c r="I348" s="3" t="s">
        <v>16</v>
      </c>
      <c r="J348" s="5">
        <v>49375.5</v>
      </c>
    </row>
    <row r="349" spans="1:10" x14ac:dyDescent="0.3">
      <c r="A349" s="3" t="s">
        <v>423</v>
      </c>
      <c r="B349" s="4">
        <v>45543</v>
      </c>
      <c r="C349" s="3" t="s">
        <v>36</v>
      </c>
      <c r="D349" s="3" t="s">
        <v>18</v>
      </c>
      <c r="E349" s="3" t="s">
        <v>28</v>
      </c>
      <c r="F349" s="3" t="s">
        <v>74</v>
      </c>
      <c r="G349" s="5">
        <v>177.46</v>
      </c>
      <c r="H349" s="3" t="s">
        <v>30</v>
      </c>
      <c r="I349" s="3" t="s">
        <v>26</v>
      </c>
      <c r="J349" s="5">
        <v>49198.04</v>
      </c>
    </row>
    <row r="350" spans="1:10" x14ac:dyDescent="0.3">
      <c r="A350" s="3" t="s">
        <v>424</v>
      </c>
      <c r="B350" s="4">
        <v>45543</v>
      </c>
      <c r="C350" s="3" t="s">
        <v>36</v>
      </c>
      <c r="D350" s="3" t="s">
        <v>18</v>
      </c>
      <c r="E350" s="3" t="s">
        <v>23</v>
      </c>
      <c r="F350" s="3" t="s">
        <v>76</v>
      </c>
      <c r="G350" s="5">
        <v>20.64</v>
      </c>
      <c r="H350" s="3" t="s">
        <v>34</v>
      </c>
      <c r="I350" s="3" t="s">
        <v>26</v>
      </c>
      <c r="J350" s="5">
        <v>49177.4</v>
      </c>
    </row>
    <row r="351" spans="1:10" x14ac:dyDescent="0.3">
      <c r="A351" s="3" t="s">
        <v>425</v>
      </c>
      <c r="B351" s="4">
        <v>45544</v>
      </c>
      <c r="C351" s="3" t="s">
        <v>36</v>
      </c>
      <c r="D351" s="3" t="s">
        <v>18</v>
      </c>
      <c r="E351" s="3" t="s">
        <v>43</v>
      </c>
      <c r="F351" s="3" t="s">
        <v>151</v>
      </c>
      <c r="G351" s="5">
        <v>65.069999999999993</v>
      </c>
      <c r="H351" s="3" t="s">
        <v>21</v>
      </c>
      <c r="I351" s="3" t="s">
        <v>16</v>
      </c>
      <c r="J351" s="5">
        <v>49112.33</v>
      </c>
    </row>
    <row r="352" spans="1:10" x14ac:dyDescent="0.3">
      <c r="A352" s="3" t="s">
        <v>426</v>
      </c>
      <c r="B352" s="4">
        <v>45544</v>
      </c>
      <c r="C352" s="3" t="s">
        <v>36</v>
      </c>
      <c r="D352" s="3" t="s">
        <v>18</v>
      </c>
      <c r="E352" s="3" t="s">
        <v>28</v>
      </c>
      <c r="F352" s="3" t="s">
        <v>58</v>
      </c>
      <c r="G352" s="5">
        <v>173.91</v>
      </c>
      <c r="H352" s="3" t="s">
        <v>34</v>
      </c>
      <c r="I352" s="3" t="s">
        <v>26</v>
      </c>
      <c r="J352" s="5">
        <v>48938.42</v>
      </c>
    </row>
    <row r="353" spans="1:10" x14ac:dyDescent="0.3">
      <c r="A353" s="3" t="s">
        <v>427</v>
      </c>
      <c r="B353" s="4">
        <v>45544</v>
      </c>
      <c r="C353" s="3" t="s">
        <v>36</v>
      </c>
      <c r="D353" s="3" t="s">
        <v>18</v>
      </c>
      <c r="E353" s="3" t="s">
        <v>23</v>
      </c>
      <c r="F353" s="3" t="s">
        <v>76</v>
      </c>
      <c r="G353" s="5">
        <v>17.05</v>
      </c>
      <c r="H353" s="3" t="s">
        <v>34</v>
      </c>
      <c r="I353" s="3" t="s">
        <v>26</v>
      </c>
      <c r="J353" s="5">
        <v>48921.37</v>
      </c>
    </row>
    <row r="354" spans="1:10" x14ac:dyDescent="0.3">
      <c r="A354" s="3" t="s">
        <v>428</v>
      </c>
      <c r="B354" s="4">
        <v>45547</v>
      </c>
      <c r="C354" s="3" t="s">
        <v>11</v>
      </c>
      <c r="D354" s="3" t="s">
        <v>18</v>
      </c>
      <c r="E354" s="3" t="s">
        <v>28</v>
      </c>
      <c r="F354" s="3" t="s">
        <v>29</v>
      </c>
      <c r="G354" s="5">
        <v>57.9</v>
      </c>
      <c r="H354" s="3" t="s">
        <v>34</v>
      </c>
      <c r="I354" s="3" t="s">
        <v>26</v>
      </c>
      <c r="J354" s="5">
        <v>48863.47</v>
      </c>
    </row>
    <row r="355" spans="1:10" x14ac:dyDescent="0.3">
      <c r="A355" s="3" t="s">
        <v>429</v>
      </c>
      <c r="B355" s="4">
        <v>45547</v>
      </c>
      <c r="C355" s="3" t="s">
        <v>11</v>
      </c>
      <c r="D355" s="3" t="s">
        <v>18</v>
      </c>
      <c r="E355" s="3" t="s">
        <v>23</v>
      </c>
      <c r="F355" s="3" t="s">
        <v>24</v>
      </c>
      <c r="G355" s="5">
        <v>63.07</v>
      </c>
      <c r="H355" s="3" t="s">
        <v>30</v>
      </c>
      <c r="I355" s="3" t="s">
        <v>26</v>
      </c>
      <c r="J355" s="5">
        <v>48800.4</v>
      </c>
    </row>
    <row r="356" spans="1:10" x14ac:dyDescent="0.3">
      <c r="A356" s="3" t="s">
        <v>430</v>
      </c>
      <c r="B356" s="4">
        <v>45547</v>
      </c>
      <c r="C356" s="3" t="s">
        <v>11</v>
      </c>
      <c r="D356" s="3" t="s">
        <v>18</v>
      </c>
      <c r="E356" s="3" t="s">
        <v>47</v>
      </c>
      <c r="F356" s="3" t="s">
        <v>106</v>
      </c>
      <c r="G356" s="5">
        <v>10.11</v>
      </c>
      <c r="H356" s="3" t="s">
        <v>25</v>
      </c>
      <c r="I356" s="3" t="s">
        <v>26</v>
      </c>
      <c r="J356" s="5">
        <v>48790.29</v>
      </c>
    </row>
    <row r="357" spans="1:10" x14ac:dyDescent="0.3">
      <c r="A357" s="3" t="s">
        <v>431</v>
      </c>
      <c r="B357" s="4">
        <v>45548</v>
      </c>
      <c r="C357" s="3" t="s">
        <v>11</v>
      </c>
      <c r="D357" s="3" t="s">
        <v>18</v>
      </c>
      <c r="E357" s="3" t="s">
        <v>47</v>
      </c>
      <c r="F357" s="3" t="s">
        <v>48</v>
      </c>
      <c r="G357" s="5">
        <v>34.35</v>
      </c>
      <c r="H357" s="3" t="s">
        <v>30</v>
      </c>
      <c r="I357" s="3" t="s">
        <v>26</v>
      </c>
      <c r="J357" s="5">
        <v>48755.94</v>
      </c>
    </row>
    <row r="358" spans="1:10" x14ac:dyDescent="0.3">
      <c r="A358" s="3" t="s">
        <v>432</v>
      </c>
      <c r="B358" s="4">
        <v>45550</v>
      </c>
      <c r="C358" s="3" t="s">
        <v>36</v>
      </c>
      <c r="D358" s="3" t="s">
        <v>18</v>
      </c>
      <c r="E358" s="3" t="s">
        <v>28</v>
      </c>
      <c r="F358" s="3" t="s">
        <v>79</v>
      </c>
      <c r="G358" s="5">
        <v>128.22</v>
      </c>
      <c r="H358" s="3" t="s">
        <v>34</v>
      </c>
      <c r="I358" s="3" t="s">
        <v>26</v>
      </c>
      <c r="J358" s="5">
        <v>48627.72</v>
      </c>
    </row>
    <row r="359" spans="1:10" x14ac:dyDescent="0.3">
      <c r="A359" s="3" t="s">
        <v>433</v>
      </c>
      <c r="B359" s="4">
        <v>45551</v>
      </c>
      <c r="C359" s="3" t="s">
        <v>11</v>
      </c>
      <c r="D359" s="3" t="s">
        <v>18</v>
      </c>
      <c r="E359" s="3" t="s">
        <v>23</v>
      </c>
      <c r="F359" s="3" t="s">
        <v>32</v>
      </c>
      <c r="G359" s="5">
        <v>38.71</v>
      </c>
      <c r="H359" s="3" t="s">
        <v>34</v>
      </c>
      <c r="I359" s="3" t="s">
        <v>26</v>
      </c>
      <c r="J359" s="5">
        <v>48589.01</v>
      </c>
    </row>
    <row r="360" spans="1:10" x14ac:dyDescent="0.3">
      <c r="A360" s="3" t="s">
        <v>434</v>
      </c>
      <c r="B360" s="4">
        <v>45552</v>
      </c>
      <c r="C360" s="3" t="s">
        <v>36</v>
      </c>
      <c r="D360" s="3" t="s">
        <v>18</v>
      </c>
      <c r="E360" s="3" t="s">
        <v>28</v>
      </c>
      <c r="F360" s="3" t="s">
        <v>58</v>
      </c>
      <c r="G360" s="5">
        <v>155.47999999999999</v>
      </c>
      <c r="H360" s="3" t="s">
        <v>30</v>
      </c>
      <c r="I360" s="3" t="s">
        <v>26</v>
      </c>
      <c r="J360" s="5">
        <v>48433.53</v>
      </c>
    </row>
    <row r="361" spans="1:10" x14ac:dyDescent="0.3">
      <c r="A361" s="3" t="s">
        <v>435</v>
      </c>
      <c r="B361" s="4">
        <v>45552</v>
      </c>
      <c r="C361" s="3" t="s">
        <v>36</v>
      </c>
      <c r="D361" s="3" t="s">
        <v>18</v>
      </c>
      <c r="E361" s="3" t="s">
        <v>23</v>
      </c>
      <c r="F361" s="3" t="s">
        <v>135</v>
      </c>
      <c r="G361" s="5">
        <v>33.090000000000003</v>
      </c>
      <c r="H361" s="3" t="s">
        <v>30</v>
      </c>
      <c r="I361" s="3" t="s">
        <v>26</v>
      </c>
      <c r="J361" s="5">
        <v>48400.44</v>
      </c>
    </row>
    <row r="362" spans="1:10" x14ac:dyDescent="0.3">
      <c r="A362" s="3" t="s">
        <v>436</v>
      </c>
      <c r="B362" s="4">
        <v>45553</v>
      </c>
      <c r="C362" s="3" t="s">
        <v>11</v>
      </c>
      <c r="D362" s="3" t="s">
        <v>18</v>
      </c>
      <c r="E362" s="3" t="s">
        <v>28</v>
      </c>
      <c r="F362" s="3" t="s">
        <v>29</v>
      </c>
      <c r="G362" s="5">
        <v>77.63</v>
      </c>
      <c r="H362" s="3" t="s">
        <v>30</v>
      </c>
      <c r="I362" s="3" t="s">
        <v>26</v>
      </c>
      <c r="J362" s="5">
        <v>48322.81</v>
      </c>
    </row>
    <row r="363" spans="1:10" x14ac:dyDescent="0.3">
      <c r="A363" s="3" t="s">
        <v>437</v>
      </c>
      <c r="B363" s="4">
        <v>45553</v>
      </c>
      <c r="C363" s="3" t="s">
        <v>36</v>
      </c>
      <c r="D363" s="3" t="s">
        <v>18</v>
      </c>
      <c r="E363" s="3" t="s">
        <v>47</v>
      </c>
      <c r="F363" s="3" t="s">
        <v>48</v>
      </c>
      <c r="G363" s="5">
        <v>45.91</v>
      </c>
      <c r="H363" s="3" t="s">
        <v>30</v>
      </c>
      <c r="I363" s="3" t="s">
        <v>26</v>
      </c>
      <c r="J363" s="5">
        <v>48276.9</v>
      </c>
    </row>
    <row r="364" spans="1:10" x14ac:dyDescent="0.3">
      <c r="A364" s="3" t="s">
        <v>438</v>
      </c>
      <c r="B364" s="4">
        <v>45553</v>
      </c>
      <c r="C364" s="3" t="s">
        <v>11</v>
      </c>
      <c r="D364" s="3" t="s">
        <v>18</v>
      </c>
      <c r="E364" s="3" t="s">
        <v>39</v>
      </c>
      <c r="F364" s="3" t="s">
        <v>170</v>
      </c>
      <c r="G364" s="5">
        <v>71</v>
      </c>
      <c r="H364" s="3" t="s">
        <v>34</v>
      </c>
      <c r="I364" s="3" t="s">
        <v>26</v>
      </c>
      <c r="J364" s="5">
        <v>48205.9</v>
      </c>
    </row>
    <row r="365" spans="1:10" x14ac:dyDescent="0.3">
      <c r="A365" s="3" t="s">
        <v>439</v>
      </c>
      <c r="B365" s="4">
        <v>45554</v>
      </c>
      <c r="C365" s="3" t="s">
        <v>36</v>
      </c>
      <c r="D365" s="3" t="s">
        <v>18</v>
      </c>
      <c r="E365" s="3" t="s">
        <v>47</v>
      </c>
      <c r="F365" s="3" t="s">
        <v>106</v>
      </c>
      <c r="G365" s="5">
        <v>36.49</v>
      </c>
      <c r="H365" s="3" t="s">
        <v>34</v>
      </c>
      <c r="I365" s="3" t="s">
        <v>26</v>
      </c>
      <c r="J365" s="5">
        <v>48169.41</v>
      </c>
    </row>
    <row r="366" spans="1:10" x14ac:dyDescent="0.3">
      <c r="A366" s="3" t="s">
        <v>440</v>
      </c>
      <c r="B366" s="4">
        <v>45556</v>
      </c>
      <c r="C366" s="3" t="s">
        <v>11</v>
      </c>
      <c r="D366" s="3" t="s">
        <v>18</v>
      </c>
      <c r="E366" s="3" t="s">
        <v>23</v>
      </c>
      <c r="F366" s="3" t="s">
        <v>32</v>
      </c>
      <c r="G366" s="5">
        <v>76.03</v>
      </c>
      <c r="H366" s="3" t="s">
        <v>25</v>
      </c>
      <c r="I366" s="3" t="s">
        <v>26</v>
      </c>
      <c r="J366" s="5">
        <v>48093.38</v>
      </c>
    </row>
    <row r="367" spans="1:10" x14ac:dyDescent="0.3">
      <c r="A367" s="3" t="s">
        <v>441</v>
      </c>
      <c r="B367" s="4">
        <v>45557</v>
      </c>
      <c r="C367" s="3" t="s">
        <v>11</v>
      </c>
      <c r="D367" s="3" t="s">
        <v>18</v>
      </c>
      <c r="E367" s="3" t="s">
        <v>23</v>
      </c>
      <c r="F367" s="3" t="s">
        <v>54</v>
      </c>
      <c r="G367" s="5">
        <v>22.99</v>
      </c>
      <c r="H367" s="3" t="s">
        <v>30</v>
      </c>
      <c r="I367" s="3" t="s">
        <v>26</v>
      </c>
      <c r="J367" s="5">
        <v>48070.39</v>
      </c>
    </row>
    <row r="368" spans="1:10" x14ac:dyDescent="0.3">
      <c r="A368" s="3" t="s">
        <v>442</v>
      </c>
      <c r="B368" s="4">
        <v>45557</v>
      </c>
      <c r="C368" s="3" t="s">
        <v>11</v>
      </c>
      <c r="D368" s="3" t="s">
        <v>18</v>
      </c>
      <c r="E368" s="3" t="s">
        <v>47</v>
      </c>
      <c r="F368" s="3" t="s">
        <v>91</v>
      </c>
      <c r="G368" s="5">
        <v>48.57</v>
      </c>
      <c r="H368" s="3" t="s">
        <v>30</v>
      </c>
      <c r="I368" s="3" t="s">
        <v>26</v>
      </c>
      <c r="J368" s="5">
        <v>48021.82</v>
      </c>
    </row>
    <row r="369" spans="1:10" x14ac:dyDescent="0.3">
      <c r="A369" s="3" t="s">
        <v>443</v>
      </c>
      <c r="B369" s="4">
        <v>45558</v>
      </c>
      <c r="C369" s="3" t="s">
        <v>36</v>
      </c>
      <c r="D369" s="3" t="s">
        <v>18</v>
      </c>
      <c r="E369" s="3" t="s">
        <v>28</v>
      </c>
      <c r="F369" s="3" t="s">
        <v>58</v>
      </c>
      <c r="G369" s="5">
        <v>62.19</v>
      </c>
      <c r="H369" s="3" t="s">
        <v>34</v>
      </c>
      <c r="I369" s="3" t="s">
        <v>26</v>
      </c>
      <c r="J369" s="5">
        <v>47959.63</v>
      </c>
    </row>
    <row r="370" spans="1:10" x14ac:dyDescent="0.3">
      <c r="A370" s="3" t="s">
        <v>444</v>
      </c>
      <c r="B370" s="4">
        <v>45558</v>
      </c>
      <c r="C370" s="3" t="s">
        <v>36</v>
      </c>
      <c r="D370" s="3" t="s">
        <v>18</v>
      </c>
      <c r="E370" s="3" t="s">
        <v>23</v>
      </c>
      <c r="F370" s="3" t="s">
        <v>98</v>
      </c>
      <c r="G370" s="5">
        <v>53.33</v>
      </c>
      <c r="H370" s="3" t="s">
        <v>25</v>
      </c>
      <c r="I370" s="3" t="s">
        <v>26</v>
      </c>
      <c r="J370" s="5">
        <v>47906.3</v>
      </c>
    </row>
    <row r="371" spans="1:10" x14ac:dyDescent="0.3">
      <c r="A371" s="3" t="s">
        <v>445</v>
      </c>
      <c r="B371" s="4">
        <v>45559</v>
      </c>
      <c r="C371" s="3" t="s">
        <v>36</v>
      </c>
      <c r="D371" s="3" t="s">
        <v>18</v>
      </c>
      <c r="E371" s="3" t="s">
        <v>23</v>
      </c>
      <c r="F371" s="3" t="s">
        <v>135</v>
      </c>
      <c r="G371" s="5">
        <v>41.35</v>
      </c>
      <c r="H371" s="3" t="s">
        <v>25</v>
      </c>
      <c r="I371" s="3" t="s">
        <v>26</v>
      </c>
      <c r="J371" s="5">
        <v>47864.95</v>
      </c>
    </row>
    <row r="372" spans="1:10" x14ac:dyDescent="0.3">
      <c r="A372" s="3" t="s">
        <v>446</v>
      </c>
      <c r="B372" s="4">
        <v>45562</v>
      </c>
      <c r="C372" s="3" t="s">
        <v>36</v>
      </c>
      <c r="D372" s="3" t="s">
        <v>18</v>
      </c>
      <c r="E372" s="3" t="s">
        <v>28</v>
      </c>
      <c r="F372" s="3" t="s">
        <v>114</v>
      </c>
      <c r="G372" s="5">
        <v>101.17</v>
      </c>
      <c r="H372" s="3" t="s">
        <v>34</v>
      </c>
      <c r="I372" s="3" t="s">
        <v>26</v>
      </c>
      <c r="J372" s="5">
        <v>47763.78</v>
      </c>
    </row>
    <row r="373" spans="1:10" x14ac:dyDescent="0.3">
      <c r="A373" s="3" t="s">
        <v>447</v>
      </c>
      <c r="B373" s="4">
        <v>45562</v>
      </c>
      <c r="C373" s="3" t="s">
        <v>36</v>
      </c>
      <c r="D373" s="3" t="s">
        <v>18</v>
      </c>
      <c r="E373" s="3" t="s">
        <v>23</v>
      </c>
      <c r="F373" s="3" t="s">
        <v>76</v>
      </c>
      <c r="G373" s="5">
        <v>52.76</v>
      </c>
      <c r="H373" s="3" t="s">
        <v>30</v>
      </c>
      <c r="I373" s="3" t="s">
        <v>26</v>
      </c>
      <c r="J373" s="5">
        <v>47711.02</v>
      </c>
    </row>
    <row r="374" spans="1:10" x14ac:dyDescent="0.3">
      <c r="A374" s="3" t="s">
        <v>448</v>
      </c>
      <c r="B374" s="4">
        <v>45562</v>
      </c>
      <c r="C374" s="3" t="s">
        <v>36</v>
      </c>
      <c r="D374" s="3" t="s">
        <v>18</v>
      </c>
      <c r="E374" s="3" t="s">
        <v>47</v>
      </c>
      <c r="F374" s="3" t="s">
        <v>56</v>
      </c>
      <c r="G374" s="5">
        <v>9.0299999999999994</v>
      </c>
      <c r="H374" s="3" t="s">
        <v>25</v>
      </c>
      <c r="I374" s="3" t="s">
        <v>26</v>
      </c>
      <c r="J374" s="5">
        <v>47701.99</v>
      </c>
    </row>
    <row r="375" spans="1:10" x14ac:dyDescent="0.3">
      <c r="A375" s="3" t="s">
        <v>449</v>
      </c>
      <c r="B375" s="4">
        <v>45563</v>
      </c>
      <c r="C375" s="3" t="s">
        <v>11</v>
      </c>
      <c r="D375" s="3" t="s">
        <v>12</v>
      </c>
      <c r="E375" s="3" t="s">
        <v>108</v>
      </c>
      <c r="F375" s="3" t="s">
        <v>354</v>
      </c>
      <c r="G375" s="5">
        <v>519.30999999999995</v>
      </c>
      <c r="H375" s="3" t="s">
        <v>183</v>
      </c>
      <c r="I375" s="3" t="s">
        <v>26</v>
      </c>
      <c r="J375" s="5">
        <v>48221.3</v>
      </c>
    </row>
    <row r="376" spans="1:10" x14ac:dyDescent="0.3">
      <c r="A376" s="3" t="s">
        <v>450</v>
      </c>
      <c r="B376" s="4">
        <v>45564</v>
      </c>
      <c r="C376" s="3" t="s">
        <v>11</v>
      </c>
      <c r="D376" s="3" t="s">
        <v>18</v>
      </c>
      <c r="E376" s="3" t="s">
        <v>47</v>
      </c>
      <c r="F376" s="3" t="s">
        <v>106</v>
      </c>
      <c r="G376" s="5">
        <v>32.26</v>
      </c>
      <c r="H376" s="3" t="s">
        <v>30</v>
      </c>
      <c r="I376" s="3" t="s">
        <v>26</v>
      </c>
      <c r="J376" s="5">
        <v>48189.04</v>
      </c>
    </row>
    <row r="377" spans="1:10" x14ac:dyDescent="0.3">
      <c r="A377" s="3" t="s">
        <v>451</v>
      </c>
      <c r="B377" s="4">
        <v>45564</v>
      </c>
      <c r="C377" s="3" t="s">
        <v>36</v>
      </c>
      <c r="D377" s="3" t="s">
        <v>18</v>
      </c>
      <c r="E377" s="3" t="s">
        <v>39</v>
      </c>
      <c r="F377" s="3" t="s">
        <v>179</v>
      </c>
      <c r="G377" s="5">
        <v>11.67</v>
      </c>
      <c r="H377" s="3" t="s">
        <v>30</v>
      </c>
      <c r="I377" s="3" t="s">
        <v>26</v>
      </c>
      <c r="J377" s="5">
        <v>48177.37</v>
      </c>
    </row>
    <row r="378" spans="1:10" x14ac:dyDescent="0.3">
      <c r="A378" s="3" t="s">
        <v>452</v>
      </c>
      <c r="B378" s="4">
        <v>45566</v>
      </c>
      <c r="C378" s="3" t="s">
        <v>11</v>
      </c>
      <c r="D378" s="3" t="s">
        <v>12</v>
      </c>
      <c r="E378" s="3" t="s">
        <v>13</v>
      </c>
      <c r="F378" s="3" t="s">
        <v>239</v>
      </c>
      <c r="G378" s="5">
        <v>3865.31</v>
      </c>
      <c r="H378" s="3" t="s">
        <v>15</v>
      </c>
      <c r="I378" s="3" t="s">
        <v>16</v>
      </c>
      <c r="J378" s="5">
        <v>52042.68</v>
      </c>
    </row>
    <row r="379" spans="1:10" x14ac:dyDescent="0.3">
      <c r="A379" s="3" t="s">
        <v>453</v>
      </c>
      <c r="B379" s="4">
        <v>45566</v>
      </c>
      <c r="C379" s="3" t="s">
        <v>11</v>
      </c>
      <c r="D379" s="3" t="s">
        <v>18</v>
      </c>
      <c r="E379" s="3" t="s">
        <v>19</v>
      </c>
      <c r="F379" s="3" t="s">
        <v>191</v>
      </c>
      <c r="G379" s="5">
        <v>1782.99</v>
      </c>
      <c r="H379" s="3" t="s">
        <v>21</v>
      </c>
      <c r="I379" s="3" t="s">
        <v>16</v>
      </c>
      <c r="J379" s="5">
        <v>50259.69</v>
      </c>
    </row>
    <row r="380" spans="1:10" x14ac:dyDescent="0.3">
      <c r="A380" s="3" t="s">
        <v>454</v>
      </c>
      <c r="B380" s="4">
        <v>45566</v>
      </c>
      <c r="C380" s="3" t="s">
        <v>11</v>
      </c>
      <c r="D380" s="3" t="s">
        <v>18</v>
      </c>
      <c r="E380" s="3" t="s">
        <v>47</v>
      </c>
      <c r="F380" s="3" t="s">
        <v>48</v>
      </c>
      <c r="G380" s="5">
        <v>20.29</v>
      </c>
      <c r="H380" s="3" t="s">
        <v>34</v>
      </c>
      <c r="I380" s="3" t="s">
        <v>26</v>
      </c>
      <c r="J380" s="5">
        <v>50239.4</v>
      </c>
    </row>
    <row r="381" spans="1:10" x14ac:dyDescent="0.3">
      <c r="A381" s="3" t="s">
        <v>455</v>
      </c>
      <c r="B381" s="4">
        <v>45567</v>
      </c>
      <c r="C381" s="3" t="s">
        <v>11</v>
      </c>
      <c r="D381" s="3" t="s">
        <v>18</v>
      </c>
      <c r="E381" s="3" t="s">
        <v>28</v>
      </c>
      <c r="F381" s="3" t="s">
        <v>58</v>
      </c>
      <c r="G381" s="5">
        <v>46.25</v>
      </c>
      <c r="H381" s="3" t="s">
        <v>34</v>
      </c>
      <c r="I381" s="3" t="s">
        <v>26</v>
      </c>
      <c r="J381" s="5">
        <v>50193.15</v>
      </c>
    </row>
    <row r="382" spans="1:10" x14ac:dyDescent="0.3">
      <c r="A382" s="3" t="s">
        <v>456</v>
      </c>
      <c r="B382" s="4">
        <v>45568</v>
      </c>
      <c r="C382" s="3" t="s">
        <v>11</v>
      </c>
      <c r="D382" s="3" t="s">
        <v>18</v>
      </c>
      <c r="E382" s="3" t="s">
        <v>28</v>
      </c>
      <c r="F382" s="3" t="s">
        <v>58</v>
      </c>
      <c r="G382" s="5">
        <v>150.05000000000001</v>
      </c>
      <c r="H382" s="3" t="s">
        <v>30</v>
      </c>
      <c r="I382" s="3" t="s">
        <v>26</v>
      </c>
      <c r="J382" s="5">
        <v>50043.1</v>
      </c>
    </row>
    <row r="383" spans="1:10" x14ac:dyDescent="0.3">
      <c r="A383" s="3" t="s">
        <v>457</v>
      </c>
      <c r="B383" s="4">
        <v>45568</v>
      </c>
      <c r="C383" s="3" t="s">
        <v>36</v>
      </c>
      <c r="D383" s="3" t="s">
        <v>18</v>
      </c>
      <c r="E383" s="3" t="s">
        <v>23</v>
      </c>
      <c r="F383" s="3" t="s">
        <v>98</v>
      </c>
      <c r="G383" s="5">
        <v>78.989999999999995</v>
      </c>
      <c r="H383" s="3" t="s">
        <v>25</v>
      </c>
      <c r="I383" s="3" t="s">
        <v>26</v>
      </c>
      <c r="J383" s="5">
        <v>49964.11</v>
      </c>
    </row>
    <row r="384" spans="1:10" x14ac:dyDescent="0.3">
      <c r="A384" s="3" t="s">
        <v>458</v>
      </c>
      <c r="B384" s="4">
        <v>45569</v>
      </c>
      <c r="C384" s="3" t="s">
        <v>11</v>
      </c>
      <c r="D384" s="3" t="s">
        <v>18</v>
      </c>
      <c r="E384" s="3" t="s">
        <v>28</v>
      </c>
      <c r="F384" s="3" t="s">
        <v>74</v>
      </c>
      <c r="G384" s="5">
        <v>28.42</v>
      </c>
      <c r="H384" s="3" t="s">
        <v>30</v>
      </c>
      <c r="I384" s="3" t="s">
        <v>26</v>
      </c>
      <c r="J384" s="5">
        <v>49935.69</v>
      </c>
    </row>
    <row r="385" spans="1:10" x14ac:dyDescent="0.3">
      <c r="A385" s="3" t="s">
        <v>459</v>
      </c>
      <c r="B385" s="4">
        <v>45570</v>
      </c>
      <c r="C385" s="3" t="s">
        <v>36</v>
      </c>
      <c r="D385" s="3" t="s">
        <v>18</v>
      </c>
      <c r="E385" s="3" t="s">
        <v>47</v>
      </c>
      <c r="F385" s="3" t="s">
        <v>106</v>
      </c>
      <c r="G385" s="5">
        <v>24.02</v>
      </c>
      <c r="H385" s="3" t="s">
        <v>30</v>
      </c>
      <c r="I385" s="3" t="s">
        <v>26</v>
      </c>
      <c r="J385" s="5">
        <v>49911.67</v>
      </c>
    </row>
    <row r="386" spans="1:10" x14ac:dyDescent="0.3">
      <c r="A386" s="3" t="s">
        <v>460</v>
      </c>
      <c r="B386" s="4">
        <v>45571</v>
      </c>
      <c r="C386" s="3" t="s">
        <v>11</v>
      </c>
      <c r="D386" s="3" t="s">
        <v>18</v>
      </c>
      <c r="E386" s="3" t="s">
        <v>23</v>
      </c>
      <c r="F386" s="3" t="s">
        <v>54</v>
      </c>
      <c r="G386" s="5">
        <v>41.44</v>
      </c>
      <c r="H386" s="3" t="s">
        <v>25</v>
      </c>
      <c r="I386" s="3" t="s">
        <v>26</v>
      </c>
      <c r="J386" s="5">
        <v>49870.23</v>
      </c>
    </row>
    <row r="387" spans="1:10" x14ac:dyDescent="0.3">
      <c r="A387" s="3" t="s">
        <v>461</v>
      </c>
      <c r="B387" s="4">
        <v>45571</v>
      </c>
      <c r="C387" s="3" t="s">
        <v>36</v>
      </c>
      <c r="D387" s="3" t="s">
        <v>18</v>
      </c>
      <c r="E387" s="3" t="s">
        <v>47</v>
      </c>
      <c r="F387" s="3" t="s">
        <v>48</v>
      </c>
      <c r="G387" s="5">
        <v>30.27</v>
      </c>
      <c r="H387" s="3" t="s">
        <v>30</v>
      </c>
      <c r="I387" s="3" t="s">
        <v>26</v>
      </c>
      <c r="J387" s="5">
        <v>49839.96</v>
      </c>
    </row>
    <row r="388" spans="1:10" x14ac:dyDescent="0.3">
      <c r="A388" s="3" t="s">
        <v>462</v>
      </c>
      <c r="B388" s="4">
        <v>45571</v>
      </c>
      <c r="C388" s="3" t="s">
        <v>36</v>
      </c>
      <c r="D388" s="3" t="s">
        <v>18</v>
      </c>
      <c r="E388" s="3" t="s">
        <v>39</v>
      </c>
      <c r="F388" s="3" t="s">
        <v>186</v>
      </c>
      <c r="G388" s="5">
        <v>37.22</v>
      </c>
      <c r="H388" s="3" t="s">
        <v>30</v>
      </c>
      <c r="I388" s="3" t="s">
        <v>26</v>
      </c>
      <c r="J388" s="5">
        <v>49802.74</v>
      </c>
    </row>
    <row r="389" spans="1:10" x14ac:dyDescent="0.3">
      <c r="A389" s="3" t="s">
        <v>463</v>
      </c>
      <c r="B389" s="4">
        <v>45572</v>
      </c>
      <c r="C389" s="3" t="s">
        <v>11</v>
      </c>
      <c r="D389" s="3" t="s">
        <v>18</v>
      </c>
      <c r="E389" s="3" t="s">
        <v>23</v>
      </c>
      <c r="F389" s="3" t="s">
        <v>54</v>
      </c>
      <c r="G389" s="5">
        <v>73.06</v>
      </c>
      <c r="H389" s="3" t="s">
        <v>34</v>
      </c>
      <c r="I389" s="3" t="s">
        <v>26</v>
      </c>
      <c r="J389" s="5">
        <v>49729.68</v>
      </c>
    </row>
    <row r="390" spans="1:10" x14ac:dyDescent="0.3">
      <c r="A390" s="3" t="s">
        <v>464</v>
      </c>
      <c r="B390" s="4">
        <v>45573</v>
      </c>
      <c r="C390" s="3" t="s">
        <v>36</v>
      </c>
      <c r="D390" s="3" t="s">
        <v>18</v>
      </c>
      <c r="E390" s="3" t="s">
        <v>43</v>
      </c>
      <c r="F390" s="3" t="s">
        <v>103</v>
      </c>
      <c r="G390" s="5">
        <v>240.31</v>
      </c>
      <c r="H390" s="3" t="s">
        <v>21</v>
      </c>
      <c r="I390" s="3" t="s">
        <v>16</v>
      </c>
      <c r="J390" s="5">
        <v>49489.37</v>
      </c>
    </row>
    <row r="391" spans="1:10" x14ac:dyDescent="0.3">
      <c r="A391" s="3" t="s">
        <v>465</v>
      </c>
      <c r="B391" s="4">
        <v>45573</v>
      </c>
      <c r="C391" s="3" t="s">
        <v>11</v>
      </c>
      <c r="D391" s="3" t="s">
        <v>18</v>
      </c>
      <c r="E391" s="3" t="s">
        <v>28</v>
      </c>
      <c r="F391" s="3" t="s">
        <v>79</v>
      </c>
      <c r="G391" s="5">
        <v>93.06</v>
      </c>
      <c r="H391" s="3" t="s">
        <v>34</v>
      </c>
      <c r="I391" s="3" t="s">
        <v>26</v>
      </c>
      <c r="J391" s="5">
        <v>49396.31</v>
      </c>
    </row>
    <row r="392" spans="1:10" x14ac:dyDescent="0.3">
      <c r="A392" s="3" t="s">
        <v>466</v>
      </c>
      <c r="B392" s="4">
        <v>45573</v>
      </c>
      <c r="C392" s="3" t="s">
        <v>36</v>
      </c>
      <c r="D392" s="3" t="s">
        <v>18</v>
      </c>
      <c r="E392" s="3" t="s">
        <v>23</v>
      </c>
      <c r="F392" s="3" t="s">
        <v>124</v>
      </c>
      <c r="G392" s="5">
        <v>28.31</v>
      </c>
      <c r="H392" s="3" t="s">
        <v>30</v>
      </c>
      <c r="I392" s="3" t="s">
        <v>26</v>
      </c>
      <c r="J392" s="5">
        <v>49368</v>
      </c>
    </row>
    <row r="393" spans="1:10" x14ac:dyDescent="0.3">
      <c r="A393" s="3" t="s">
        <v>467</v>
      </c>
      <c r="B393" s="4">
        <v>45573</v>
      </c>
      <c r="C393" s="3" t="s">
        <v>36</v>
      </c>
      <c r="D393" s="3" t="s">
        <v>18</v>
      </c>
      <c r="E393" s="3" t="s">
        <v>47</v>
      </c>
      <c r="F393" s="3" t="s">
        <v>69</v>
      </c>
      <c r="G393" s="5">
        <v>58.2</v>
      </c>
      <c r="H393" s="3" t="s">
        <v>30</v>
      </c>
      <c r="I393" s="3" t="s">
        <v>26</v>
      </c>
      <c r="J393" s="5">
        <v>49309.8</v>
      </c>
    </row>
    <row r="394" spans="1:10" x14ac:dyDescent="0.3">
      <c r="A394" s="3" t="s">
        <v>468</v>
      </c>
      <c r="B394" s="4">
        <v>45574</v>
      </c>
      <c r="C394" s="3" t="s">
        <v>36</v>
      </c>
      <c r="D394" s="3" t="s">
        <v>18</v>
      </c>
      <c r="E394" s="3" t="s">
        <v>47</v>
      </c>
      <c r="F394" s="3" t="s">
        <v>56</v>
      </c>
      <c r="G394" s="5">
        <v>50.71</v>
      </c>
      <c r="H394" s="3" t="s">
        <v>30</v>
      </c>
      <c r="I394" s="3" t="s">
        <v>26</v>
      </c>
      <c r="J394" s="5">
        <v>49259.09</v>
      </c>
    </row>
    <row r="395" spans="1:10" x14ac:dyDescent="0.3">
      <c r="A395" s="3" t="s">
        <v>469</v>
      </c>
      <c r="B395" s="4">
        <v>45575</v>
      </c>
      <c r="C395" s="3" t="s">
        <v>11</v>
      </c>
      <c r="D395" s="3" t="s">
        <v>18</v>
      </c>
      <c r="E395" s="3" t="s">
        <v>43</v>
      </c>
      <c r="F395" s="3" t="s">
        <v>339</v>
      </c>
      <c r="G395" s="5">
        <v>231.55</v>
      </c>
      <c r="H395" s="3" t="s">
        <v>21</v>
      </c>
      <c r="I395" s="3" t="s">
        <v>16</v>
      </c>
      <c r="J395" s="5">
        <v>49027.54</v>
      </c>
    </row>
    <row r="396" spans="1:10" x14ac:dyDescent="0.3">
      <c r="A396" s="3" t="s">
        <v>470</v>
      </c>
      <c r="B396" s="4">
        <v>45575</v>
      </c>
      <c r="C396" s="3" t="s">
        <v>36</v>
      </c>
      <c r="D396" s="3" t="s">
        <v>18</v>
      </c>
      <c r="E396" s="3" t="s">
        <v>28</v>
      </c>
      <c r="F396" s="3" t="s">
        <v>58</v>
      </c>
      <c r="G396" s="5">
        <v>55.5</v>
      </c>
      <c r="H396" s="3" t="s">
        <v>30</v>
      </c>
      <c r="I396" s="3" t="s">
        <v>26</v>
      </c>
      <c r="J396" s="5">
        <v>48972.04</v>
      </c>
    </row>
    <row r="397" spans="1:10" x14ac:dyDescent="0.3">
      <c r="A397" s="3" t="s">
        <v>471</v>
      </c>
      <c r="B397" s="4">
        <v>45575</v>
      </c>
      <c r="C397" s="3" t="s">
        <v>11</v>
      </c>
      <c r="D397" s="3" t="s">
        <v>18</v>
      </c>
      <c r="E397" s="3" t="s">
        <v>39</v>
      </c>
      <c r="F397" s="3" t="s">
        <v>170</v>
      </c>
      <c r="G397" s="5">
        <v>48.87</v>
      </c>
      <c r="H397" s="3" t="s">
        <v>34</v>
      </c>
      <c r="I397" s="3" t="s">
        <v>26</v>
      </c>
      <c r="J397" s="5">
        <v>48923.17</v>
      </c>
    </row>
    <row r="398" spans="1:10" x14ac:dyDescent="0.3">
      <c r="A398" s="3" t="s">
        <v>472</v>
      </c>
      <c r="B398" s="4">
        <v>45577</v>
      </c>
      <c r="C398" s="3" t="s">
        <v>11</v>
      </c>
      <c r="D398" s="3" t="s">
        <v>18</v>
      </c>
      <c r="E398" s="3" t="s">
        <v>23</v>
      </c>
      <c r="F398" s="3" t="s">
        <v>32</v>
      </c>
      <c r="G398" s="5">
        <v>62.19</v>
      </c>
      <c r="H398" s="3" t="s">
        <v>25</v>
      </c>
      <c r="I398" s="3" t="s">
        <v>26</v>
      </c>
      <c r="J398" s="5">
        <v>48860.98</v>
      </c>
    </row>
    <row r="399" spans="1:10" x14ac:dyDescent="0.3">
      <c r="A399" s="3" t="s">
        <v>473</v>
      </c>
      <c r="B399" s="4">
        <v>45578</v>
      </c>
      <c r="C399" s="3" t="s">
        <v>36</v>
      </c>
      <c r="D399" s="3" t="s">
        <v>18</v>
      </c>
      <c r="E399" s="3" t="s">
        <v>47</v>
      </c>
      <c r="F399" s="3" t="s">
        <v>60</v>
      </c>
      <c r="G399" s="5">
        <v>11.78</v>
      </c>
      <c r="H399" s="3" t="s">
        <v>30</v>
      </c>
      <c r="I399" s="3" t="s">
        <v>26</v>
      </c>
      <c r="J399" s="5">
        <v>48849.2</v>
      </c>
    </row>
    <row r="400" spans="1:10" x14ac:dyDescent="0.3">
      <c r="A400" s="3" t="s">
        <v>474</v>
      </c>
      <c r="B400" s="4">
        <v>45578</v>
      </c>
      <c r="C400" s="3" t="s">
        <v>11</v>
      </c>
      <c r="D400" s="3" t="s">
        <v>18</v>
      </c>
      <c r="E400" s="3" t="s">
        <v>39</v>
      </c>
      <c r="F400" s="3" t="s">
        <v>179</v>
      </c>
      <c r="G400" s="5">
        <v>22.07</v>
      </c>
      <c r="H400" s="3" t="s">
        <v>34</v>
      </c>
      <c r="I400" s="3" t="s">
        <v>26</v>
      </c>
      <c r="J400" s="5">
        <v>48827.13</v>
      </c>
    </row>
    <row r="401" spans="1:10" x14ac:dyDescent="0.3">
      <c r="A401" s="3" t="s">
        <v>475</v>
      </c>
      <c r="B401" s="4">
        <v>45579</v>
      </c>
      <c r="C401" s="3" t="s">
        <v>36</v>
      </c>
      <c r="D401" s="3" t="s">
        <v>18</v>
      </c>
      <c r="E401" s="3" t="s">
        <v>47</v>
      </c>
      <c r="F401" s="3" t="s">
        <v>56</v>
      </c>
      <c r="G401" s="5">
        <v>23.81</v>
      </c>
      <c r="H401" s="3" t="s">
        <v>34</v>
      </c>
      <c r="I401" s="3" t="s">
        <v>26</v>
      </c>
      <c r="J401" s="5">
        <v>48803.32</v>
      </c>
    </row>
    <row r="402" spans="1:10" x14ac:dyDescent="0.3">
      <c r="A402" s="3" t="s">
        <v>476</v>
      </c>
      <c r="B402" s="4">
        <v>45581</v>
      </c>
      <c r="C402" s="3" t="s">
        <v>36</v>
      </c>
      <c r="D402" s="3" t="s">
        <v>18</v>
      </c>
      <c r="E402" s="3" t="s">
        <v>23</v>
      </c>
      <c r="F402" s="3" t="s">
        <v>124</v>
      </c>
      <c r="G402" s="5">
        <v>52.66</v>
      </c>
      <c r="H402" s="3" t="s">
        <v>25</v>
      </c>
      <c r="I402" s="3" t="s">
        <v>26</v>
      </c>
      <c r="J402" s="5">
        <v>48750.66</v>
      </c>
    </row>
    <row r="403" spans="1:10" x14ac:dyDescent="0.3">
      <c r="A403" s="3" t="s">
        <v>477</v>
      </c>
      <c r="B403" s="4">
        <v>45581</v>
      </c>
      <c r="C403" s="3" t="s">
        <v>11</v>
      </c>
      <c r="D403" s="3" t="s">
        <v>18</v>
      </c>
      <c r="E403" s="3" t="s">
        <v>47</v>
      </c>
      <c r="F403" s="3" t="s">
        <v>60</v>
      </c>
      <c r="G403" s="5">
        <v>5.8</v>
      </c>
      <c r="H403" s="3" t="s">
        <v>25</v>
      </c>
      <c r="I403" s="3" t="s">
        <v>26</v>
      </c>
      <c r="J403" s="5">
        <v>48744.86</v>
      </c>
    </row>
    <row r="404" spans="1:10" x14ac:dyDescent="0.3">
      <c r="A404" s="3" t="s">
        <v>478</v>
      </c>
      <c r="B404" s="4">
        <v>45582</v>
      </c>
      <c r="C404" s="3" t="s">
        <v>36</v>
      </c>
      <c r="D404" s="3" t="s">
        <v>18</v>
      </c>
      <c r="E404" s="3" t="s">
        <v>28</v>
      </c>
      <c r="F404" s="3" t="s">
        <v>58</v>
      </c>
      <c r="G404" s="5">
        <v>100.52</v>
      </c>
      <c r="H404" s="3" t="s">
        <v>34</v>
      </c>
      <c r="I404" s="3" t="s">
        <v>26</v>
      </c>
      <c r="J404" s="5">
        <v>48644.34</v>
      </c>
    </row>
    <row r="405" spans="1:10" x14ac:dyDescent="0.3">
      <c r="A405" s="3" t="s">
        <v>479</v>
      </c>
      <c r="B405" s="4">
        <v>45582</v>
      </c>
      <c r="C405" s="3" t="s">
        <v>36</v>
      </c>
      <c r="D405" s="3" t="s">
        <v>18</v>
      </c>
      <c r="E405" s="3" t="s">
        <v>47</v>
      </c>
      <c r="F405" s="3" t="s">
        <v>106</v>
      </c>
      <c r="G405" s="5">
        <v>56.23</v>
      </c>
      <c r="H405" s="3" t="s">
        <v>25</v>
      </c>
      <c r="I405" s="3" t="s">
        <v>26</v>
      </c>
      <c r="J405" s="5">
        <v>48588.11</v>
      </c>
    </row>
    <row r="406" spans="1:10" x14ac:dyDescent="0.3">
      <c r="A406" s="3" t="s">
        <v>480</v>
      </c>
      <c r="B406" s="4">
        <v>45583</v>
      </c>
      <c r="C406" s="3" t="s">
        <v>36</v>
      </c>
      <c r="D406" s="3" t="s">
        <v>18</v>
      </c>
      <c r="E406" s="3" t="s">
        <v>28</v>
      </c>
      <c r="F406" s="3" t="s">
        <v>117</v>
      </c>
      <c r="G406" s="5">
        <v>60.63</v>
      </c>
      <c r="H406" s="3" t="s">
        <v>34</v>
      </c>
      <c r="I406" s="3" t="s">
        <v>26</v>
      </c>
      <c r="J406" s="5">
        <v>48527.48</v>
      </c>
    </row>
    <row r="407" spans="1:10" x14ac:dyDescent="0.3">
      <c r="A407" s="3" t="s">
        <v>481</v>
      </c>
      <c r="B407" s="4">
        <v>45585</v>
      </c>
      <c r="C407" s="3" t="s">
        <v>126</v>
      </c>
      <c r="D407" s="3" t="s">
        <v>12</v>
      </c>
      <c r="E407" s="3" t="s">
        <v>108</v>
      </c>
      <c r="F407" s="3" t="s">
        <v>354</v>
      </c>
      <c r="G407" s="5">
        <v>1006.75</v>
      </c>
      <c r="H407" s="3" t="s">
        <v>110</v>
      </c>
      <c r="I407" s="3" t="s">
        <v>26</v>
      </c>
      <c r="J407" s="5">
        <v>49534.23</v>
      </c>
    </row>
    <row r="408" spans="1:10" x14ac:dyDescent="0.3">
      <c r="A408" s="3" t="s">
        <v>482</v>
      </c>
      <c r="B408" s="4">
        <v>45585</v>
      </c>
      <c r="C408" s="3" t="s">
        <v>11</v>
      </c>
      <c r="D408" s="3" t="s">
        <v>18</v>
      </c>
      <c r="E408" s="3" t="s">
        <v>47</v>
      </c>
      <c r="F408" s="3" t="s">
        <v>48</v>
      </c>
      <c r="G408" s="5">
        <v>55.84</v>
      </c>
      <c r="H408" s="3" t="s">
        <v>34</v>
      </c>
      <c r="I408" s="3" t="s">
        <v>26</v>
      </c>
      <c r="J408" s="5">
        <v>49478.39</v>
      </c>
    </row>
    <row r="409" spans="1:10" x14ac:dyDescent="0.3">
      <c r="A409" s="3" t="s">
        <v>483</v>
      </c>
      <c r="B409" s="4">
        <v>45586</v>
      </c>
      <c r="C409" s="3" t="s">
        <v>36</v>
      </c>
      <c r="D409" s="3" t="s">
        <v>18</v>
      </c>
      <c r="E409" s="3" t="s">
        <v>47</v>
      </c>
      <c r="F409" s="3" t="s">
        <v>91</v>
      </c>
      <c r="G409" s="5">
        <v>35.56</v>
      </c>
      <c r="H409" s="3" t="s">
        <v>30</v>
      </c>
      <c r="I409" s="3" t="s">
        <v>26</v>
      </c>
      <c r="J409" s="5">
        <v>49442.83</v>
      </c>
    </row>
    <row r="410" spans="1:10" x14ac:dyDescent="0.3">
      <c r="A410" s="3" t="s">
        <v>484</v>
      </c>
      <c r="B410" s="4">
        <v>45587</v>
      </c>
      <c r="C410" s="3" t="s">
        <v>11</v>
      </c>
      <c r="D410" s="3" t="s">
        <v>18</v>
      </c>
      <c r="E410" s="3" t="s">
        <v>28</v>
      </c>
      <c r="F410" s="3" t="s">
        <v>117</v>
      </c>
      <c r="G410" s="5">
        <v>143.22</v>
      </c>
      <c r="H410" s="3" t="s">
        <v>30</v>
      </c>
      <c r="I410" s="3" t="s">
        <v>26</v>
      </c>
      <c r="J410" s="5">
        <v>49299.61</v>
      </c>
    </row>
    <row r="411" spans="1:10" x14ac:dyDescent="0.3">
      <c r="A411" s="3" t="s">
        <v>485</v>
      </c>
      <c r="B411" s="4">
        <v>45588</v>
      </c>
      <c r="C411" s="3" t="s">
        <v>36</v>
      </c>
      <c r="D411" s="3" t="s">
        <v>18</v>
      </c>
      <c r="E411" s="3" t="s">
        <v>47</v>
      </c>
      <c r="F411" s="3" t="s">
        <v>56</v>
      </c>
      <c r="G411" s="5">
        <v>42.3</v>
      </c>
      <c r="H411" s="3" t="s">
        <v>25</v>
      </c>
      <c r="I411" s="3" t="s">
        <v>26</v>
      </c>
      <c r="J411" s="5">
        <v>49257.31</v>
      </c>
    </row>
    <row r="412" spans="1:10" x14ac:dyDescent="0.3">
      <c r="A412" s="3" t="s">
        <v>486</v>
      </c>
      <c r="B412" s="4">
        <v>45588</v>
      </c>
      <c r="C412" s="3" t="s">
        <v>36</v>
      </c>
      <c r="D412" s="3" t="s">
        <v>18</v>
      </c>
      <c r="E412" s="3" t="s">
        <v>39</v>
      </c>
      <c r="F412" s="3" t="s">
        <v>170</v>
      </c>
      <c r="G412" s="5">
        <v>95.85</v>
      </c>
      <c r="H412" s="3" t="s">
        <v>30</v>
      </c>
      <c r="I412" s="3" t="s">
        <v>26</v>
      </c>
      <c r="J412" s="5">
        <v>49161.46</v>
      </c>
    </row>
    <row r="413" spans="1:10" x14ac:dyDescent="0.3">
      <c r="A413" s="3" t="s">
        <v>487</v>
      </c>
      <c r="B413" s="4">
        <v>45589</v>
      </c>
      <c r="C413" s="3" t="s">
        <v>11</v>
      </c>
      <c r="D413" s="3" t="s">
        <v>18</v>
      </c>
      <c r="E413" s="3" t="s">
        <v>23</v>
      </c>
      <c r="F413" s="3" t="s">
        <v>124</v>
      </c>
      <c r="G413" s="5">
        <v>72.97</v>
      </c>
      <c r="H413" s="3" t="s">
        <v>34</v>
      </c>
      <c r="I413" s="3" t="s">
        <v>26</v>
      </c>
      <c r="J413" s="5">
        <v>49088.49</v>
      </c>
    </row>
    <row r="414" spans="1:10" x14ac:dyDescent="0.3">
      <c r="A414" s="3" t="s">
        <v>488</v>
      </c>
      <c r="B414" s="4">
        <v>45590</v>
      </c>
      <c r="C414" s="3" t="s">
        <v>11</v>
      </c>
      <c r="D414" s="3" t="s">
        <v>12</v>
      </c>
      <c r="E414" s="3" t="s">
        <v>108</v>
      </c>
      <c r="F414" s="3" t="s">
        <v>127</v>
      </c>
      <c r="G414" s="5">
        <v>1492.01</v>
      </c>
      <c r="H414" s="3" t="s">
        <v>110</v>
      </c>
      <c r="I414" s="3" t="s">
        <v>26</v>
      </c>
      <c r="J414" s="5">
        <v>50580.5</v>
      </c>
    </row>
    <row r="415" spans="1:10" x14ac:dyDescent="0.3">
      <c r="A415" s="3" t="s">
        <v>489</v>
      </c>
      <c r="B415" s="4">
        <v>45590</v>
      </c>
      <c r="C415" s="3" t="s">
        <v>11</v>
      </c>
      <c r="D415" s="3" t="s">
        <v>18</v>
      </c>
      <c r="E415" s="3" t="s">
        <v>47</v>
      </c>
      <c r="F415" s="3" t="s">
        <v>106</v>
      </c>
      <c r="G415" s="5">
        <v>33.729999999999997</v>
      </c>
      <c r="H415" s="3" t="s">
        <v>30</v>
      </c>
      <c r="I415" s="3" t="s">
        <v>26</v>
      </c>
      <c r="J415" s="5">
        <v>50546.77</v>
      </c>
    </row>
    <row r="416" spans="1:10" x14ac:dyDescent="0.3">
      <c r="A416" s="3" t="s">
        <v>490</v>
      </c>
      <c r="B416" s="4">
        <v>45591</v>
      </c>
      <c r="C416" s="3" t="s">
        <v>36</v>
      </c>
      <c r="D416" s="3" t="s">
        <v>18</v>
      </c>
      <c r="E416" s="3" t="s">
        <v>28</v>
      </c>
      <c r="F416" s="3" t="s">
        <v>58</v>
      </c>
      <c r="G416" s="5">
        <v>64.489999999999995</v>
      </c>
      <c r="H416" s="3" t="s">
        <v>30</v>
      </c>
      <c r="I416" s="3" t="s">
        <v>26</v>
      </c>
      <c r="J416" s="5">
        <v>50482.28</v>
      </c>
    </row>
    <row r="417" spans="1:10" x14ac:dyDescent="0.3">
      <c r="A417" s="3" t="s">
        <v>491</v>
      </c>
      <c r="B417" s="4">
        <v>45591</v>
      </c>
      <c r="C417" s="3" t="s">
        <v>11</v>
      </c>
      <c r="D417" s="3" t="s">
        <v>18</v>
      </c>
      <c r="E417" s="3" t="s">
        <v>23</v>
      </c>
      <c r="F417" s="3" t="s">
        <v>98</v>
      </c>
      <c r="G417" s="5">
        <v>46.86</v>
      </c>
      <c r="H417" s="3" t="s">
        <v>30</v>
      </c>
      <c r="I417" s="3" t="s">
        <v>26</v>
      </c>
      <c r="J417" s="5">
        <v>50435.42</v>
      </c>
    </row>
    <row r="418" spans="1:10" x14ac:dyDescent="0.3">
      <c r="A418" s="3" t="s">
        <v>492</v>
      </c>
      <c r="B418" s="4">
        <v>45591</v>
      </c>
      <c r="C418" s="3" t="s">
        <v>11</v>
      </c>
      <c r="D418" s="3" t="s">
        <v>18</v>
      </c>
      <c r="E418" s="3" t="s">
        <v>39</v>
      </c>
      <c r="F418" s="3" t="s">
        <v>156</v>
      </c>
      <c r="G418" s="5">
        <v>16.739999999999998</v>
      </c>
      <c r="H418" s="3" t="s">
        <v>30</v>
      </c>
      <c r="I418" s="3" t="s">
        <v>26</v>
      </c>
      <c r="J418" s="5">
        <v>50418.68</v>
      </c>
    </row>
    <row r="419" spans="1:10" x14ac:dyDescent="0.3">
      <c r="A419" s="3" t="s">
        <v>493</v>
      </c>
      <c r="B419" s="4">
        <v>45592</v>
      </c>
      <c r="C419" s="3" t="s">
        <v>11</v>
      </c>
      <c r="D419" s="3" t="s">
        <v>18</v>
      </c>
      <c r="E419" s="3" t="s">
        <v>28</v>
      </c>
      <c r="F419" s="3" t="s">
        <v>58</v>
      </c>
      <c r="G419" s="5">
        <v>51.42</v>
      </c>
      <c r="H419" s="3" t="s">
        <v>34</v>
      </c>
      <c r="I419" s="3" t="s">
        <v>26</v>
      </c>
      <c r="J419" s="5">
        <v>50367.26</v>
      </c>
    </row>
    <row r="420" spans="1:10" x14ac:dyDescent="0.3">
      <c r="A420" s="3" t="s">
        <v>494</v>
      </c>
      <c r="B420" s="4">
        <v>45593</v>
      </c>
      <c r="C420" s="3" t="s">
        <v>11</v>
      </c>
      <c r="D420" s="3" t="s">
        <v>18</v>
      </c>
      <c r="E420" s="3" t="s">
        <v>47</v>
      </c>
      <c r="F420" s="3" t="s">
        <v>69</v>
      </c>
      <c r="G420" s="5">
        <v>54.48</v>
      </c>
      <c r="H420" s="3" t="s">
        <v>25</v>
      </c>
      <c r="I420" s="3" t="s">
        <v>26</v>
      </c>
      <c r="J420" s="5">
        <v>50312.78</v>
      </c>
    </row>
    <row r="421" spans="1:10" x14ac:dyDescent="0.3">
      <c r="A421" s="3" t="s">
        <v>495</v>
      </c>
      <c r="B421" s="4">
        <v>45594</v>
      </c>
      <c r="C421" s="3" t="s">
        <v>36</v>
      </c>
      <c r="D421" s="3" t="s">
        <v>18</v>
      </c>
      <c r="E421" s="3" t="s">
        <v>28</v>
      </c>
      <c r="F421" s="3" t="s">
        <v>58</v>
      </c>
      <c r="G421" s="5">
        <v>39.020000000000003</v>
      </c>
      <c r="H421" s="3" t="s">
        <v>34</v>
      </c>
      <c r="I421" s="3" t="s">
        <v>26</v>
      </c>
      <c r="J421" s="5">
        <v>50273.760000000002</v>
      </c>
    </row>
    <row r="422" spans="1:10" x14ac:dyDescent="0.3">
      <c r="A422" s="3" t="s">
        <v>496</v>
      </c>
      <c r="B422" s="4">
        <v>45594</v>
      </c>
      <c r="C422" s="3" t="s">
        <v>11</v>
      </c>
      <c r="D422" s="3" t="s">
        <v>18</v>
      </c>
      <c r="E422" s="3" t="s">
        <v>39</v>
      </c>
      <c r="F422" s="3" t="s">
        <v>89</v>
      </c>
      <c r="G422" s="5">
        <v>91.91</v>
      </c>
      <c r="H422" s="3" t="s">
        <v>34</v>
      </c>
      <c r="I422" s="3" t="s">
        <v>26</v>
      </c>
      <c r="J422" s="5">
        <v>50181.85</v>
      </c>
    </row>
    <row r="423" spans="1:10" x14ac:dyDescent="0.3">
      <c r="A423" s="3" t="s">
        <v>497</v>
      </c>
      <c r="B423" s="4">
        <v>45595</v>
      </c>
      <c r="C423" s="3" t="s">
        <v>36</v>
      </c>
      <c r="D423" s="3" t="s">
        <v>18</v>
      </c>
      <c r="E423" s="3" t="s">
        <v>47</v>
      </c>
      <c r="F423" s="3" t="s">
        <v>106</v>
      </c>
      <c r="G423" s="5">
        <v>23.67</v>
      </c>
      <c r="H423" s="3" t="s">
        <v>34</v>
      </c>
      <c r="I423" s="3" t="s">
        <v>26</v>
      </c>
      <c r="J423" s="5">
        <v>50158.18</v>
      </c>
    </row>
    <row r="424" spans="1:10" x14ac:dyDescent="0.3">
      <c r="A424" s="3" t="s">
        <v>498</v>
      </c>
      <c r="B424" s="4">
        <v>45596</v>
      </c>
      <c r="C424" s="3" t="s">
        <v>11</v>
      </c>
      <c r="D424" s="3" t="s">
        <v>18</v>
      </c>
      <c r="E424" s="3" t="s">
        <v>28</v>
      </c>
      <c r="F424" s="3" t="s">
        <v>52</v>
      </c>
      <c r="G424" s="5">
        <v>22.16</v>
      </c>
      <c r="H424" s="3" t="s">
        <v>30</v>
      </c>
      <c r="I424" s="3" t="s">
        <v>26</v>
      </c>
      <c r="J424" s="5">
        <v>50136.02</v>
      </c>
    </row>
    <row r="425" spans="1:10" x14ac:dyDescent="0.3">
      <c r="A425" s="3" t="s">
        <v>499</v>
      </c>
      <c r="B425" s="4">
        <v>45597</v>
      </c>
      <c r="C425" s="3" t="s">
        <v>11</v>
      </c>
      <c r="D425" s="3" t="s">
        <v>18</v>
      </c>
      <c r="E425" s="3" t="s">
        <v>19</v>
      </c>
      <c r="F425" s="3" t="s">
        <v>96</v>
      </c>
      <c r="G425" s="5">
        <v>1207.56</v>
      </c>
      <c r="H425" s="3" t="s">
        <v>21</v>
      </c>
      <c r="I425" s="3" t="s">
        <v>16</v>
      </c>
      <c r="J425" s="5">
        <v>48928.46</v>
      </c>
    </row>
    <row r="426" spans="1:10" x14ac:dyDescent="0.3">
      <c r="A426" s="3" t="s">
        <v>500</v>
      </c>
      <c r="B426" s="4">
        <v>45597</v>
      </c>
      <c r="C426" s="3" t="s">
        <v>36</v>
      </c>
      <c r="D426" s="3" t="s">
        <v>18</v>
      </c>
      <c r="E426" s="3" t="s">
        <v>28</v>
      </c>
      <c r="F426" s="3" t="s">
        <v>114</v>
      </c>
      <c r="G426" s="5">
        <v>22.7</v>
      </c>
      <c r="H426" s="3" t="s">
        <v>30</v>
      </c>
      <c r="I426" s="3" t="s">
        <v>26</v>
      </c>
      <c r="J426" s="5">
        <v>48905.760000000002</v>
      </c>
    </row>
    <row r="427" spans="1:10" x14ac:dyDescent="0.3">
      <c r="A427" s="3" t="s">
        <v>501</v>
      </c>
      <c r="B427" s="4">
        <v>45597</v>
      </c>
      <c r="C427" s="3" t="s">
        <v>11</v>
      </c>
      <c r="D427" s="3" t="s">
        <v>18</v>
      </c>
      <c r="E427" s="3" t="s">
        <v>39</v>
      </c>
      <c r="F427" s="3" t="s">
        <v>179</v>
      </c>
      <c r="G427" s="5">
        <v>94.15</v>
      </c>
      <c r="H427" s="3" t="s">
        <v>34</v>
      </c>
      <c r="I427" s="3" t="s">
        <v>26</v>
      </c>
      <c r="J427" s="5">
        <v>48811.61</v>
      </c>
    </row>
    <row r="428" spans="1:10" x14ac:dyDescent="0.3">
      <c r="A428" s="3" t="s">
        <v>502</v>
      </c>
      <c r="B428" s="4">
        <v>45598</v>
      </c>
      <c r="C428" s="3" t="s">
        <v>11</v>
      </c>
      <c r="D428" s="3" t="s">
        <v>18</v>
      </c>
      <c r="E428" s="3" t="s">
        <v>28</v>
      </c>
      <c r="F428" s="3" t="s">
        <v>79</v>
      </c>
      <c r="G428" s="5">
        <v>67.14</v>
      </c>
      <c r="H428" s="3" t="s">
        <v>30</v>
      </c>
      <c r="I428" s="3" t="s">
        <v>26</v>
      </c>
      <c r="J428" s="5">
        <v>48744.47</v>
      </c>
    </row>
    <row r="429" spans="1:10" x14ac:dyDescent="0.3">
      <c r="A429" s="3" t="s">
        <v>503</v>
      </c>
      <c r="B429" s="4">
        <v>45600</v>
      </c>
      <c r="C429" s="3" t="s">
        <v>36</v>
      </c>
      <c r="D429" s="3" t="s">
        <v>18</v>
      </c>
      <c r="E429" s="3" t="s">
        <v>28</v>
      </c>
      <c r="F429" s="3" t="s">
        <v>74</v>
      </c>
      <c r="G429" s="5">
        <v>83.08</v>
      </c>
      <c r="H429" s="3" t="s">
        <v>30</v>
      </c>
      <c r="I429" s="3" t="s">
        <v>26</v>
      </c>
      <c r="J429" s="5">
        <v>48661.39</v>
      </c>
    </row>
    <row r="430" spans="1:10" x14ac:dyDescent="0.3">
      <c r="A430" s="3" t="s">
        <v>504</v>
      </c>
      <c r="B430" s="4">
        <v>45600</v>
      </c>
      <c r="C430" s="3" t="s">
        <v>11</v>
      </c>
      <c r="D430" s="3" t="s">
        <v>18</v>
      </c>
      <c r="E430" s="3" t="s">
        <v>23</v>
      </c>
      <c r="F430" s="3" t="s">
        <v>76</v>
      </c>
      <c r="G430" s="5">
        <v>82.38</v>
      </c>
      <c r="H430" s="3" t="s">
        <v>25</v>
      </c>
      <c r="I430" s="3" t="s">
        <v>26</v>
      </c>
      <c r="J430" s="5">
        <v>48579.01</v>
      </c>
    </row>
    <row r="431" spans="1:10" x14ac:dyDescent="0.3">
      <c r="A431" s="3" t="s">
        <v>505</v>
      </c>
      <c r="B431" s="4">
        <v>45600</v>
      </c>
      <c r="C431" s="3" t="s">
        <v>11</v>
      </c>
      <c r="D431" s="3" t="s">
        <v>18</v>
      </c>
      <c r="E431" s="3" t="s">
        <v>47</v>
      </c>
      <c r="F431" s="3" t="s">
        <v>56</v>
      </c>
      <c r="G431" s="5">
        <v>51.54</v>
      </c>
      <c r="H431" s="3" t="s">
        <v>25</v>
      </c>
      <c r="I431" s="3" t="s">
        <v>26</v>
      </c>
      <c r="J431" s="5">
        <v>48527.47</v>
      </c>
    </row>
    <row r="432" spans="1:10" x14ac:dyDescent="0.3">
      <c r="A432" s="3" t="s">
        <v>506</v>
      </c>
      <c r="B432" s="4">
        <v>45601</v>
      </c>
      <c r="C432" s="3" t="s">
        <v>126</v>
      </c>
      <c r="D432" s="3" t="s">
        <v>12</v>
      </c>
      <c r="E432" s="3" t="s">
        <v>108</v>
      </c>
      <c r="F432" s="3" t="s">
        <v>109</v>
      </c>
      <c r="G432" s="5">
        <v>897.78</v>
      </c>
      <c r="H432" s="3" t="s">
        <v>110</v>
      </c>
      <c r="I432" s="3" t="s">
        <v>26</v>
      </c>
      <c r="J432" s="5">
        <v>49425.25</v>
      </c>
    </row>
    <row r="433" spans="1:10" x14ac:dyDescent="0.3">
      <c r="A433" s="3" t="s">
        <v>507</v>
      </c>
      <c r="B433" s="4">
        <v>45601</v>
      </c>
      <c r="C433" s="3" t="s">
        <v>36</v>
      </c>
      <c r="D433" s="3" t="s">
        <v>18</v>
      </c>
      <c r="E433" s="3" t="s">
        <v>23</v>
      </c>
      <c r="F433" s="3" t="s">
        <v>124</v>
      </c>
      <c r="G433" s="5">
        <v>20.2</v>
      </c>
      <c r="H433" s="3" t="s">
        <v>34</v>
      </c>
      <c r="I433" s="3" t="s">
        <v>26</v>
      </c>
      <c r="J433" s="5">
        <v>49405.05</v>
      </c>
    </row>
    <row r="434" spans="1:10" x14ac:dyDescent="0.3">
      <c r="A434" s="3" t="s">
        <v>508</v>
      </c>
      <c r="B434" s="4">
        <v>45603</v>
      </c>
      <c r="C434" s="3" t="s">
        <v>36</v>
      </c>
      <c r="D434" s="3" t="s">
        <v>18</v>
      </c>
      <c r="E434" s="3" t="s">
        <v>28</v>
      </c>
      <c r="F434" s="3" t="s">
        <v>74</v>
      </c>
      <c r="G434" s="5">
        <v>117.4</v>
      </c>
      <c r="H434" s="3" t="s">
        <v>34</v>
      </c>
      <c r="I434" s="3" t="s">
        <v>26</v>
      </c>
      <c r="J434" s="5">
        <v>49287.65</v>
      </c>
    </row>
    <row r="435" spans="1:10" x14ac:dyDescent="0.3">
      <c r="A435" s="3" t="s">
        <v>509</v>
      </c>
      <c r="B435" s="4">
        <v>45604</v>
      </c>
      <c r="C435" s="3" t="s">
        <v>36</v>
      </c>
      <c r="D435" s="3" t="s">
        <v>18</v>
      </c>
      <c r="E435" s="3" t="s">
        <v>28</v>
      </c>
      <c r="F435" s="3" t="s">
        <v>117</v>
      </c>
      <c r="G435" s="5">
        <v>112.35</v>
      </c>
      <c r="H435" s="3" t="s">
        <v>34</v>
      </c>
      <c r="I435" s="3" t="s">
        <v>26</v>
      </c>
      <c r="J435" s="5">
        <v>49175.3</v>
      </c>
    </row>
    <row r="436" spans="1:10" x14ac:dyDescent="0.3">
      <c r="A436" s="3" t="s">
        <v>510</v>
      </c>
      <c r="B436" s="4">
        <v>45604</v>
      </c>
      <c r="C436" s="3" t="s">
        <v>11</v>
      </c>
      <c r="D436" s="3" t="s">
        <v>18</v>
      </c>
      <c r="E436" s="3" t="s">
        <v>23</v>
      </c>
      <c r="F436" s="3" t="s">
        <v>76</v>
      </c>
      <c r="G436" s="5">
        <v>73.430000000000007</v>
      </c>
      <c r="H436" s="3" t="s">
        <v>30</v>
      </c>
      <c r="I436" s="3" t="s">
        <v>26</v>
      </c>
      <c r="J436" s="5">
        <v>49101.87</v>
      </c>
    </row>
    <row r="437" spans="1:10" x14ac:dyDescent="0.3">
      <c r="A437" s="3" t="s">
        <v>511</v>
      </c>
      <c r="B437" s="4">
        <v>45604</v>
      </c>
      <c r="C437" s="3" t="s">
        <v>36</v>
      </c>
      <c r="D437" s="3" t="s">
        <v>18</v>
      </c>
      <c r="E437" s="3" t="s">
        <v>47</v>
      </c>
      <c r="F437" s="3" t="s">
        <v>106</v>
      </c>
      <c r="G437" s="5">
        <v>5.93</v>
      </c>
      <c r="H437" s="3" t="s">
        <v>25</v>
      </c>
      <c r="I437" s="3" t="s">
        <v>26</v>
      </c>
      <c r="J437" s="5">
        <v>49095.94</v>
      </c>
    </row>
    <row r="438" spans="1:10" x14ac:dyDescent="0.3">
      <c r="A438" s="3" t="s">
        <v>512</v>
      </c>
      <c r="B438" s="4">
        <v>45605</v>
      </c>
      <c r="C438" s="3" t="s">
        <v>11</v>
      </c>
      <c r="D438" s="3" t="s">
        <v>18</v>
      </c>
      <c r="E438" s="3" t="s">
        <v>28</v>
      </c>
      <c r="F438" s="3" t="s">
        <v>29</v>
      </c>
      <c r="G438" s="5">
        <v>122.48</v>
      </c>
      <c r="H438" s="3" t="s">
        <v>34</v>
      </c>
      <c r="I438" s="3" t="s">
        <v>26</v>
      </c>
      <c r="J438" s="5">
        <v>48973.46</v>
      </c>
    </row>
    <row r="439" spans="1:10" x14ac:dyDescent="0.3">
      <c r="A439" s="3" t="s">
        <v>513</v>
      </c>
      <c r="B439" s="4">
        <v>45606</v>
      </c>
      <c r="C439" s="3" t="s">
        <v>11</v>
      </c>
      <c r="D439" s="3" t="s">
        <v>18</v>
      </c>
      <c r="E439" s="3" t="s">
        <v>43</v>
      </c>
      <c r="F439" s="3" t="s">
        <v>151</v>
      </c>
      <c r="G439" s="5">
        <v>239.41</v>
      </c>
      <c r="H439" s="3" t="s">
        <v>21</v>
      </c>
      <c r="I439" s="3" t="s">
        <v>16</v>
      </c>
      <c r="J439" s="5">
        <v>48734.05</v>
      </c>
    </row>
    <row r="440" spans="1:10" x14ac:dyDescent="0.3">
      <c r="A440" s="3" t="s">
        <v>514</v>
      </c>
      <c r="B440" s="4">
        <v>45608</v>
      </c>
      <c r="C440" s="3" t="s">
        <v>11</v>
      </c>
      <c r="D440" s="3" t="s">
        <v>18</v>
      </c>
      <c r="E440" s="3" t="s">
        <v>39</v>
      </c>
      <c r="F440" s="3" t="s">
        <v>179</v>
      </c>
      <c r="G440" s="5">
        <v>28.47</v>
      </c>
      <c r="H440" s="3" t="s">
        <v>34</v>
      </c>
      <c r="I440" s="3" t="s">
        <v>26</v>
      </c>
      <c r="J440" s="5">
        <v>48705.58</v>
      </c>
    </row>
    <row r="441" spans="1:10" x14ac:dyDescent="0.3">
      <c r="A441" s="3" t="s">
        <v>515</v>
      </c>
      <c r="B441" s="4">
        <v>45610</v>
      </c>
      <c r="C441" s="3" t="s">
        <v>36</v>
      </c>
      <c r="D441" s="3" t="s">
        <v>18</v>
      </c>
      <c r="E441" s="3" t="s">
        <v>23</v>
      </c>
      <c r="F441" s="3" t="s">
        <v>24</v>
      </c>
      <c r="G441" s="5">
        <v>48.04</v>
      </c>
      <c r="H441" s="3" t="s">
        <v>30</v>
      </c>
      <c r="I441" s="3" t="s">
        <v>26</v>
      </c>
      <c r="J441" s="5">
        <v>48657.54</v>
      </c>
    </row>
    <row r="442" spans="1:10" x14ac:dyDescent="0.3">
      <c r="A442" s="3" t="s">
        <v>516</v>
      </c>
      <c r="B442" s="4">
        <v>45611</v>
      </c>
      <c r="C442" s="3" t="s">
        <v>11</v>
      </c>
      <c r="D442" s="3" t="s">
        <v>12</v>
      </c>
      <c r="E442" s="3" t="s">
        <v>13</v>
      </c>
      <c r="F442" s="3" t="s">
        <v>14</v>
      </c>
      <c r="G442" s="5">
        <v>4515.47</v>
      </c>
      <c r="H442" s="3" t="s">
        <v>15</v>
      </c>
      <c r="I442" s="3" t="s">
        <v>16</v>
      </c>
      <c r="J442" s="5">
        <v>53173.01</v>
      </c>
    </row>
    <row r="443" spans="1:10" x14ac:dyDescent="0.3">
      <c r="A443" s="3" t="s">
        <v>517</v>
      </c>
      <c r="B443" s="4">
        <v>45611</v>
      </c>
      <c r="C443" s="3" t="s">
        <v>36</v>
      </c>
      <c r="D443" s="3" t="s">
        <v>18</v>
      </c>
      <c r="E443" s="3" t="s">
        <v>47</v>
      </c>
      <c r="F443" s="3" t="s">
        <v>106</v>
      </c>
      <c r="G443" s="5">
        <v>26.48</v>
      </c>
      <c r="H443" s="3" t="s">
        <v>34</v>
      </c>
      <c r="I443" s="3" t="s">
        <v>26</v>
      </c>
      <c r="J443" s="5">
        <v>53146.53</v>
      </c>
    </row>
    <row r="444" spans="1:10" x14ac:dyDescent="0.3">
      <c r="A444" s="3" t="s">
        <v>518</v>
      </c>
      <c r="B444" s="4">
        <v>45612</v>
      </c>
      <c r="C444" s="3" t="s">
        <v>126</v>
      </c>
      <c r="D444" s="3" t="s">
        <v>12</v>
      </c>
      <c r="E444" s="3" t="s">
        <v>108</v>
      </c>
      <c r="F444" s="3" t="s">
        <v>109</v>
      </c>
      <c r="G444" s="5">
        <v>337.31</v>
      </c>
      <c r="H444" s="3" t="s">
        <v>110</v>
      </c>
      <c r="I444" s="3" t="s">
        <v>26</v>
      </c>
      <c r="J444" s="5">
        <v>53483.839999999997</v>
      </c>
    </row>
    <row r="445" spans="1:10" x14ac:dyDescent="0.3">
      <c r="A445" s="3" t="s">
        <v>519</v>
      </c>
      <c r="B445" s="4">
        <v>45613</v>
      </c>
      <c r="C445" s="3" t="s">
        <v>36</v>
      </c>
      <c r="D445" s="3" t="s">
        <v>18</v>
      </c>
      <c r="E445" s="3" t="s">
        <v>23</v>
      </c>
      <c r="F445" s="3" t="s">
        <v>124</v>
      </c>
      <c r="G445" s="5">
        <v>38.67</v>
      </c>
      <c r="H445" s="3" t="s">
        <v>25</v>
      </c>
      <c r="I445" s="3" t="s">
        <v>26</v>
      </c>
      <c r="J445" s="5">
        <v>53445.17</v>
      </c>
    </row>
    <row r="446" spans="1:10" x14ac:dyDescent="0.3">
      <c r="A446" s="3" t="s">
        <v>520</v>
      </c>
      <c r="B446" s="4">
        <v>45613</v>
      </c>
      <c r="C446" s="3" t="s">
        <v>11</v>
      </c>
      <c r="D446" s="3" t="s">
        <v>18</v>
      </c>
      <c r="E446" s="3" t="s">
        <v>39</v>
      </c>
      <c r="F446" s="3" t="s">
        <v>40</v>
      </c>
      <c r="G446" s="5">
        <v>93.02</v>
      </c>
      <c r="H446" s="3" t="s">
        <v>30</v>
      </c>
      <c r="I446" s="3" t="s">
        <v>26</v>
      </c>
      <c r="J446" s="5">
        <v>53352.15</v>
      </c>
    </row>
    <row r="447" spans="1:10" x14ac:dyDescent="0.3">
      <c r="A447" s="3" t="s">
        <v>521</v>
      </c>
      <c r="B447" s="4">
        <v>45615</v>
      </c>
      <c r="C447" s="3" t="s">
        <v>11</v>
      </c>
      <c r="D447" s="3" t="s">
        <v>12</v>
      </c>
      <c r="E447" s="3" t="s">
        <v>108</v>
      </c>
      <c r="F447" s="3" t="s">
        <v>388</v>
      </c>
      <c r="G447" s="5">
        <v>1428.39</v>
      </c>
      <c r="H447" s="3" t="s">
        <v>183</v>
      </c>
      <c r="I447" s="3" t="s">
        <v>26</v>
      </c>
      <c r="J447" s="5">
        <v>54780.54</v>
      </c>
    </row>
    <row r="448" spans="1:10" x14ac:dyDescent="0.3">
      <c r="A448" s="3" t="s">
        <v>522</v>
      </c>
      <c r="B448" s="4">
        <v>45616</v>
      </c>
      <c r="C448" s="3" t="s">
        <v>36</v>
      </c>
      <c r="D448" s="3" t="s">
        <v>18</v>
      </c>
      <c r="E448" s="3" t="s">
        <v>23</v>
      </c>
      <c r="F448" s="3" t="s">
        <v>135</v>
      </c>
      <c r="G448" s="5">
        <v>78.88</v>
      </c>
      <c r="H448" s="3" t="s">
        <v>34</v>
      </c>
      <c r="I448" s="3" t="s">
        <v>26</v>
      </c>
      <c r="J448" s="5">
        <v>54701.66</v>
      </c>
    </row>
    <row r="449" spans="1:10" x14ac:dyDescent="0.3">
      <c r="A449" s="3" t="s">
        <v>523</v>
      </c>
      <c r="B449" s="4">
        <v>45616</v>
      </c>
      <c r="C449" s="3" t="s">
        <v>11</v>
      </c>
      <c r="D449" s="3" t="s">
        <v>18</v>
      </c>
      <c r="E449" s="3" t="s">
        <v>47</v>
      </c>
      <c r="F449" s="3" t="s">
        <v>91</v>
      </c>
      <c r="G449" s="5">
        <v>55.61</v>
      </c>
      <c r="H449" s="3" t="s">
        <v>34</v>
      </c>
      <c r="I449" s="3" t="s">
        <v>26</v>
      </c>
      <c r="J449" s="5">
        <v>54646.05</v>
      </c>
    </row>
    <row r="450" spans="1:10" x14ac:dyDescent="0.3">
      <c r="A450" s="3" t="s">
        <v>524</v>
      </c>
      <c r="B450" s="4">
        <v>45617</v>
      </c>
      <c r="C450" s="3" t="s">
        <v>36</v>
      </c>
      <c r="D450" s="3" t="s">
        <v>18</v>
      </c>
      <c r="E450" s="3" t="s">
        <v>28</v>
      </c>
      <c r="F450" s="3" t="s">
        <v>79</v>
      </c>
      <c r="G450" s="5">
        <v>154.38</v>
      </c>
      <c r="H450" s="3" t="s">
        <v>34</v>
      </c>
      <c r="I450" s="3" t="s">
        <v>26</v>
      </c>
      <c r="J450" s="5">
        <v>54491.67</v>
      </c>
    </row>
    <row r="451" spans="1:10" x14ac:dyDescent="0.3">
      <c r="A451" s="3" t="s">
        <v>525</v>
      </c>
      <c r="B451" s="4">
        <v>45617</v>
      </c>
      <c r="C451" s="3" t="s">
        <v>11</v>
      </c>
      <c r="D451" s="3" t="s">
        <v>18</v>
      </c>
      <c r="E451" s="3" t="s">
        <v>39</v>
      </c>
      <c r="F451" s="3" t="s">
        <v>170</v>
      </c>
      <c r="G451" s="5">
        <v>90.65</v>
      </c>
      <c r="H451" s="3" t="s">
        <v>30</v>
      </c>
      <c r="I451" s="3" t="s">
        <v>26</v>
      </c>
      <c r="J451" s="5">
        <v>54401.02</v>
      </c>
    </row>
    <row r="452" spans="1:10" x14ac:dyDescent="0.3">
      <c r="A452" s="3" t="s">
        <v>526</v>
      </c>
      <c r="B452" s="4">
        <v>45619</v>
      </c>
      <c r="C452" s="3" t="s">
        <v>36</v>
      </c>
      <c r="D452" s="3" t="s">
        <v>18</v>
      </c>
      <c r="E452" s="3" t="s">
        <v>39</v>
      </c>
      <c r="F452" s="3" t="s">
        <v>64</v>
      </c>
      <c r="G452" s="5">
        <v>27.2</v>
      </c>
      <c r="H452" s="3" t="s">
        <v>34</v>
      </c>
      <c r="I452" s="3" t="s">
        <v>26</v>
      </c>
      <c r="J452" s="5">
        <v>54373.82</v>
      </c>
    </row>
    <row r="453" spans="1:10" x14ac:dyDescent="0.3">
      <c r="A453" s="3" t="s">
        <v>527</v>
      </c>
      <c r="B453" s="4">
        <v>45620</v>
      </c>
      <c r="C453" s="3" t="s">
        <v>11</v>
      </c>
      <c r="D453" s="3" t="s">
        <v>18</v>
      </c>
      <c r="E453" s="3" t="s">
        <v>23</v>
      </c>
      <c r="F453" s="3" t="s">
        <v>54</v>
      </c>
      <c r="G453" s="5">
        <v>52.51</v>
      </c>
      <c r="H453" s="3" t="s">
        <v>30</v>
      </c>
      <c r="I453" s="3" t="s">
        <v>26</v>
      </c>
      <c r="J453" s="5">
        <v>54321.31</v>
      </c>
    </row>
    <row r="454" spans="1:10" x14ac:dyDescent="0.3">
      <c r="A454" s="3" t="s">
        <v>528</v>
      </c>
      <c r="B454" s="4">
        <v>45620</v>
      </c>
      <c r="C454" s="3" t="s">
        <v>36</v>
      </c>
      <c r="D454" s="3" t="s">
        <v>18</v>
      </c>
      <c r="E454" s="3" t="s">
        <v>47</v>
      </c>
      <c r="F454" s="3" t="s">
        <v>48</v>
      </c>
      <c r="G454" s="5">
        <v>49.46</v>
      </c>
      <c r="H454" s="3" t="s">
        <v>34</v>
      </c>
      <c r="I454" s="3" t="s">
        <v>26</v>
      </c>
      <c r="J454" s="5">
        <v>54271.85</v>
      </c>
    </row>
    <row r="455" spans="1:10" x14ac:dyDescent="0.3">
      <c r="A455" s="3" t="s">
        <v>529</v>
      </c>
      <c r="B455" s="4">
        <v>45621</v>
      </c>
      <c r="C455" s="3" t="s">
        <v>36</v>
      </c>
      <c r="D455" s="3" t="s">
        <v>18</v>
      </c>
      <c r="E455" s="3" t="s">
        <v>28</v>
      </c>
      <c r="F455" s="3" t="s">
        <v>58</v>
      </c>
      <c r="G455" s="5">
        <v>134.52000000000001</v>
      </c>
      <c r="H455" s="3" t="s">
        <v>34</v>
      </c>
      <c r="I455" s="3" t="s">
        <v>26</v>
      </c>
      <c r="J455" s="5">
        <v>54137.33</v>
      </c>
    </row>
    <row r="456" spans="1:10" x14ac:dyDescent="0.3">
      <c r="A456" s="3" t="s">
        <v>530</v>
      </c>
      <c r="B456" s="4">
        <v>45623</v>
      </c>
      <c r="C456" s="3" t="s">
        <v>11</v>
      </c>
      <c r="D456" s="3" t="s">
        <v>18</v>
      </c>
      <c r="E456" s="3" t="s">
        <v>28</v>
      </c>
      <c r="F456" s="3" t="s">
        <v>29</v>
      </c>
      <c r="G456" s="5">
        <v>85.7</v>
      </c>
      <c r="H456" s="3" t="s">
        <v>34</v>
      </c>
      <c r="I456" s="3" t="s">
        <v>26</v>
      </c>
      <c r="J456" s="5">
        <v>54051.63</v>
      </c>
    </row>
    <row r="457" spans="1:10" x14ac:dyDescent="0.3">
      <c r="A457" s="3" t="s">
        <v>531</v>
      </c>
      <c r="B457" s="4">
        <v>45623</v>
      </c>
      <c r="C457" s="3" t="s">
        <v>36</v>
      </c>
      <c r="D457" s="3" t="s">
        <v>18</v>
      </c>
      <c r="E457" s="3" t="s">
        <v>39</v>
      </c>
      <c r="F457" s="3" t="s">
        <v>179</v>
      </c>
      <c r="G457" s="5">
        <v>84.77</v>
      </c>
      <c r="H457" s="3" t="s">
        <v>34</v>
      </c>
      <c r="I457" s="3" t="s">
        <v>26</v>
      </c>
      <c r="J457" s="5">
        <v>53966.86</v>
      </c>
    </row>
    <row r="458" spans="1:10" x14ac:dyDescent="0.3">
      <c r="A458" s="3" t="s">
        <v>532</v>
      </c>
      <c r="B458" s="4">
        <v>45624</v>
      </c>
      <c r="C458" s="3" t="s">
        <v>11</v>
      </c>
      <c r="D458" s="3" t="s">
        <v>18</v>
      </c>
      <c r="E458" s="3" t="s">
        <v>23</v>
      </c>
      <c r="F458" s="3" t="s">
        <v>54</v>
      </c>
      <c r="G458" s="5">
        <v>31.4</v>
      </c>
      <c r="H458" s="3" t="s">
        <v>25</v>
      </c>
      <c r="I458" s="3" t="s">
        <v>26</v>
      </c>
      <c r="J458" s="5">
        <v>53935.46</v>
      </c>
    </row>
    <row r="459" spans="1:10" x14ac:dyDescent="0.3">
      <c r="A459" s="3" t="s">
        <v>533</v>
      </c>
      <c r="B459" s="4">
        <v>45626</v>
      </c>
      <c r="C459" s="3" t="s">
        <v>36</v>
      </c>
      <c r="D459" s="3" t="s">
        <v>18</v>
      </c>
      <c r="E459" s="3" t="s">
        <v>28</v>
      </c>
      <c r="F459" s="3" t="s">
        <v>29</v>
      </c>
      <c r="G459" s="5">
        <v>15.59</v>
      </c>
      <c r="H459" s="3" t="s">
        <v>34</v>
      </c>
      <c r="I459" s="3" t="s">
        <v>26</v>
      </c>
      <c r="J459" s="5">
        <v>53919.87</v>
      </c>
    </row>
    <row r="460" spans="1:10" x14ac:dyDescent="0.3">
      <c r="A460" s="3" t="s">
        <v>534</v>
      </c>
      <c r="B460" s="4">
        <v>45627</v>
      </c>
      <c r="C460" s="3" t="s">
        <v>11</v>
      </c>
      <c r="D460" s="3" t="s">
        <v>12</v>
      </c>
      <c r="E460" s="3" t="s">
        <v>13</v>
      </c>
      <c r="F460" s="3" t="s">
        <v>14</v>
      </c>
      <c r="G460" s="5">
        <v>4998.5600000000004</v>
      </c>
      <c r="H460" s="3" t="s">
        <v>15</v>
      </c>
      <c r="I460" s="3" t="s">
        <v>16</v>
      </c>
      <c r="J460" s="5">
        <v>58918.43</v>
      </c>
    </row>
    <row r="461" spans="1:10" x14ac:dyDescent="0.3">
      <c r="A461" s="3" t="s">
        <v>535</v>
      </c>
      <c r="B461" s="4">
        <v>45627</v>
      </c>
      <c r="C461" s="3" t="s">
        <v>11</v>
      </c>
      <c r="D461" s="3" t="s">
        <v>18</v>
      </c>
      <c r="E461" s="3" t="s">
        <v>19</v>
      </c>
      <c r="F461" s="3" t="s">
        <v>191</v>
      </c>
      <c r="G461" s="5">
        <v>2186</v>
      </c>
      <c r="H461" s="3" t="s">
        <v>21</v>
      </c>
      <c r="I461" s="3" t="s">
        <v>16</v>
      </c>
      <c r="J461" s="5">
        <v>56732.43</v>
      </c>
    </row>
    <row r="462" spans="1:10" x14ac:dyDescent="0.3">
      <c r="A462" s="3" t="s">
        <v>536</v>
      </c>
      <c r="B462" s="4">
        <v>45627</v>
      </c>
      <c r="C462" s="3" t="s">
        <v>36</v>
      </c>
      <c r="D462" s="3" t="s">
        <v>18</v>
      </c>
      <c r="E462" s="3" t="s">
        <v>47</v>
      </c>
      <c r="F462" s="3" t="s">
        <v>60</v>
      </c>
      <c r="G462" s="5">
        <v>57.34</v>
      </c>
      <c r="H462" s="3" t="s">
        <v>25</v>
      </c>
      <c r="I462" s="3" t="s">
        <v>26</v>
      </c>
      <c r="J462" s="5">
        <v>56675.09</v>
      </c>
    </row>
    <row r="463" spans="1:10" x14ac:dyDescent="0.3">
      <c r="A463" s="3" t="s">
        <v>537</v>
      </c>
      <c r="B463" s="4">
        <v>45627</v>
      </c>
      <c r="C463" s="3" t="s">
        <v>36</v>
      </c>
      <c r="D463" s="3" t="s">
        <v>18</v>
      </c>
      <c r="E463" s="3" t="s">
        <v>39</v>
      </c>
      <c r="F463" s="3" t="s">
        <v>156</v>
      </c>
      <c r="G463" s="5">
        <v>35.840000000000003</v>
      </c>
      <c r="H463" s="3" t="s">
        <v>34</v>
      </c>
      <c r="I463" s="3" t="s">
        <v>26</v>
      </c>
      <c r="J463" s="5">
        <v>56639.25</v>
      </c>
    </row>
    <row r="464" spans="1:10" x14ac:dyDescent="0.3">
      <c r="A464" s="3" t="s">
        <v>538</v>
      </c>
      <c r="B464" s="4">
        <v>45628</v>
      </c>
      <c r="C464" s="3" t="s">
        <v>36</v>
      </c>
      <c r="D464" s="3" t="s">
        <v>18</v>
      </c>
      <c r="E464" s="3" t="s">
        <v>47</v>
      </c>
      <c r="F464" s="3" t="s">
        <v>56</v>
      </c>
      <c r="G464" s="5">
        <v>33.22</v>
      </c>
      <c r="H464" s="3" t="s">
        <v>30</v>
      </c>
      <c r="I464" s="3" t="s">
        <v>26</v>
      </c>
      <c r="J464" s="5">
        <v>56606.03</v>
      </c>
    </row>
    <row r="465" spans="1:10" x14ac:dyDescent="0.3">
      <c r="A465" s="3" t="s">
        <v>539</v>
      </c>
      <c r="B465" s="4">
        <v>45629</v>
      </c>
      <c r="C465" s="3" t="s">
        <v>11</v>
      </c>
      <c r="D465" s="3" t="s">
        <v>18</v>
      </c>
      <c r="E465" s="3" t="s">
        <v>47</v>
      </c>
      <c r="F465" s="3" t="s">
        <v>56</v>
      </c>
      <c r="G465" s="5">
        <v>34.96</v>
      </c>
      <c r="H465" s="3" t="s">
        <v>34</v>
      </c>
      <c r="I465" s="3" t="s">
        <v>26</v>
      </c>
      <c r="J465" s="5">
        <v>56571.07</v>
      </c>
    </row>
    <row r="466" spans="1:10" x14ac:dyDescent="0.3">
      <c r="A466" s="3" t="s">
        <v>540</v>
      </c>
      <c r="B466" s="4">
        <v>45630</v>
      </c>
      <c r="C466" s="3" t="s">
        <v>11</v>
      </c>
      <c r="D466" s="3" t="s">
        <v>18</v>
      </c>
      <c r="E466" s="3" t="s">
        <v>47</v>
      </c>
      <c r="F466" s="3" t="s">
        <v>91</v>
      </c>
      <c r="G466" s="5">
        <v>40.229999999999997</v>
      </c>
      <c r="H466" s="3" t="s">
        <v>30</v>
      </c>
      <c r="I466" s="3" t="s">
        <v>26</v>
      </c>
      <c r="J466" s="5">
        <v>56530.84</v>
      </c>
    </row>
    <row r="467" spans="1:10" x14ac:dyDescent="0.3">
      <c r="A467" s="3" t="s">
        <v>541</v>
      </c>
      <c r="B467" s="4">
        <v>45630</v>
      </c>
      <c r="C467" s="3" t="s">
        <v>11</v>
      </c>
      <c r="D467" s="3" t="s">
        <v>18</v>
      </c>
      <c r="E467" s="3" t="s">
        <v>39</v>
      </c>
      <c r="F467" s="3" t="s">
        <v>186</v>
      </c>
      <c r="G467" s="5">
        <v>53.02</v>
      </c>
      <c r="H467" s="3" t="s">
        <v>30</v>
      </c>
      <c r="I467" s="3" t="s">
        <v>26</v>
      </c>
      <c r="J467" s="5">
        <v>56477.82</v>
      </c>
    </row>
    <row r="468" spans="1:10" x14ac:dyDescent="0.3">
      <c r="A468" s="3" t="s">
        <v>542</v>
      </c>
      <c r="B468" s="4">
        <v>45631</v>
      </c>
      <c r="C468" s="3" t="s">
        <v>36</v>
      </c>
      <c r="D468" s="3" t="s">
        <v>18</v>
      </c>
      <c r="E468" s="3" t="s">
        <v>28</v>
      </c>
      <c r="F468" s="3" t="s">
        <v>79</v>
      </c>
      <c r="G468" s="5">
        <v>136.35</v>
      </c>
      <c r="H468" s="3" t="s">
        <v>30</v>
      </c>
      <c r="I468" s="3" t="s">
        <v>26</v>
      </c>
      <c r="J468" s="5">
        <v>56341.47</v>
      </c>
    </row>
    <row r="469" spans="1:10" x14ac:dyDescent="0.3">
      <c r="A469" s="3" t="s">
        <v>543</v>
      </c>
      <c r="B469" s="4">
        <v>45633</v>
      </c>
      <c r="C469" s="3" t="s">
        <v>11</v>
      </c>
      <c r="D469" s="3" t="s">
        <v>18</v>
      </c>
      <c r="E469" s="3" t="s">
        <v>47</v>
      </c>
      <c r="F469" s="3" t="s">
        <v>69</v>
      </c>
      <c r="G469" s="5">
        <v>14.66</v>
      </c>
      <c r="H469" s="3" t="s">
        <v>34</v>
      </c>
      <c r="I469" s="3" t="s">
        <v>26</v>
      </c>
      <c r="J469" s="5">
        <v>56326.81</v>
      </c>
    </row>
    <row r="470" spans="1:10" x14ac:dyDescent="0.3">
      <c r="A470" s="3" t="s">
        <v>544</v>
      </c>
      <c r="B470" s="4">
        <v>45633</v>
      </c>
      <c r="C470" s="3" t="s">
        <v>36</v>
      </c>
      <c r="D470" s="3" t="s">
        <v>18</v>
      </c>
      <c r="E470" s="3" t="s">
        <v>39</v>
      </c>
      <c r="F470" s="3" t="s">
        <v>170</v>
      </c>
      <c r="G470" s="5">
        <v>19.36</v>
      </c>
      <c r="H470" s="3" t="s">
        <v>34</v>
      </c>
      <c r="I470" s="3" t="s">
        <v>26</v>
      </c>
      <c r="J470" s="5">
        <v>56307.45</v>
      </c>
    </row>
    <row r="471" spans="1:10" x14ac:dyDescent="0.3">
      <c r="A471" s="3" t="s">
        <v>545</v>
      </c>
      <c r="B471" s="4">
        <v>45634</v>
      </c>
      <c r="C471" s="3" t="s">
        <v>36</v>
      </c>
      <c r="D471" s="3" t="s">
        <v>18</v>
      </c>
      <c r="E471" s="3" t="s">
        <v>43</v>
      </c>
      <c r="F471" s="3" t="s">
        <v>44</v>
      </c>
      <c r="G471" s="5">
        <v>116.52</v>
      </c>
      <c r="H471" s="3" t="s">
        <v>21</v>
      </c>
      <c r="I471" s="3" t="s">
        <v>16</v>
      </c>
      <c r="J471" s="5">
        <v>56190.93</v>
      </c>
    </row>
    <row r="472" spans="1:10" x14ac:dyDescent="0.3">
      <c r="A472" s="3" t="s">
        <v>546</v>
      </c>
      <c r="B472" s="4">
        <v>45634</v>
      </c>
      <c r="C472" s="3" t="s">
        <v>11</v>
      </c>
      <c r="D472" s="3" t="s">
        <v>18</v>
      </c>
      <c r="E472" s="3" t="s">
        <v>28</v>
      </c>
      <c r="F472" s="3" t="s">
        <v>114</v>
      </c>
      <c r="G472" s="5">
        <v>35.56</v>
      </c>
      <c r="H472" s="3" t="s">
        <v>30</v>
      </c>
      <c r="I472" s="3" t="s">
        <v>26</v>
      </c>
      <c r="J472" s="5">
        <v>56155.37</v>
      </c>
    </row>
    <row r="473" spans="1:10" x14ac:dyDescent="0.3">
      <c r="A473" s="3" t="s">
        <v>547</v>
      </c>
      <c r="B473" s="4">
        <v>45634</v>
      </c>
      <c r="C473" s="3" t="s">
        <v>11</v>
      </c>
      <c r="D473" s="3" t="s">
        <v>18</v>
      </c>
      <c r="E473" s="3" t="s">
        <v>23</v>
      </c>
      <c r="F473" s="3" t="s">
        <v>87</v>
      </c>
      <c r="G473" s="5">
        <v>27.25</v>
      </c>
      <c r="H473" s="3" t="s">
        <v>34</v>
      </c>
      <c r="I473" s="3" t="s">
        <v>26</v>
      </c>
      <c r="J473" s="5">
        <v>56128.12</v>
      </c>
    </row>
    <row r="474" spans="1:10" x14ac:dyDescent="0.3">
      <c r="A474" s="3" t="s">
        <v>548</v>
      </c>
      <c r="B474" s="4">
        <v>45635</v>
      </c>
      <c r="C474" s="3" t="s">
        <v>11</v>
      </c>
      <c r="D474" s="3" t="s">
        <v>18</v>
      </c>
      <c r="E474" s="3" t="s">
        <v>23</v>
      </c>
      <c r="F474" s="3" t="s">
        <v>124</v>
      </c>
      <c r="G474" s="5">
        <v>37.840000000000003</v>
      </c>
      <c r="H474" s="3" t="s">
        <v>34</v>
      </c>
      <c r="I474" s="3" t="s">
        <v>26</v>
      </c>
      <c r="J474" s="5">
        <v>56090.28</v>
      </c>
    </row>
    <row r="475" spans="1:10" x14ac:dyDescent="0.3">
      <c r="A475" s="3" t="s">
        <v>549</v>
      </c>
      <c r="B475" s="4">
        <v>45636</v>
      </c>
      <c r="C475" s="3" t="s">
        <v>36</v>
      </c>
      <c r="D475" s="3" t="s">
        <v>18</v>
      </c>
      <c r="E475" s="3" t="s">
        <v>43</v>
      </c>
      <c r="F475" s="3" t="s">
        <v>103</v>
      </c>
      <c r="G475" s="5">
        <v>66.36</v>
      </c>
      <c r="H475" s="3" t="s">
        <v>21</v>
      </c>
      <c r="I475" s="3" t="s">
        <v>16</v>
      </c>
      <c r="J475" s="5">
        <v>56023.92</v>
      </c>
    </row>
    <row r="476" spans="1:10" x14ac:dyDescent="0.3">
      <c r="A476" s="3" t="s">
        <v>550</v>
      </c>
      <c r="B476" s="4">
        <v>45637</v>
      </c>
      <c r="C476" s="3" t="s">
        <v>11</v>
      </c>
      <c r="D476" s="3" t="s">
        <v>18</v>
      </c>
      <c r="E476" s="3" t="s">
        <v>28</v>
      </c>
      <c r="F476" s="3" t="s">
        <v>79</v>
      </c>
      <c r="G476" s="5">
        <v>102.62</v>
      </c>
      <c r="H476" s="3" t="s">
        <v>30</v>
      </c>
      <c r="I476" s="3" t="s">
        <v>26</v>
      </c>
      <c r="J476" s="5">
        <v>55921.3</v>
      </c>
    </row>
    <row r="477" spans="1:10" x14ac:dyDescent="0.3">
      <c r="A477" s="3" t="s">
        <v>551</v>
      </c>
      <c r="B477" s="4">
        <v>45638</v>
      </c>
      <c r="C477" s="3" t="s">
        <v>11</v>
      </c>
      <c r="D477" s="3" t="s">
        <v>18</v>
      </c>
      <c r="E477" s="3" t="s">
        <v>47</v>
      </c>
      <c r="F477" s="3" t="s">
        <v>48</v>
      </c>
      <c r="G477" s="5">
        <v>7.86</v>
      </c>
      <c r="H477" s="3" t="s">
        <v>34</v>
      </c>
      <c r="I477" s="3" t="s">
        <v>26</v>
      </c>
      <c r="J477" s="5">
        <v>55913.440000000002</v>
      </c>
    </row>
    <row r="478" spans="1:10" x14ac:dyDescent="0.3">
      <c r="A478" s="3" t="s">
        <v>552</v>
      </c>
      <c r="B478" s="4">
        <v>45639</v>
      </c>
      <c r="C478" s="3" t="s">
        <v>36</v>
      </c>
      <c r="D478" s="3" t="s">
        <v>18</v>
      </c>
      <c r="E478" s="3" t="s">
        <v>28</v>
      </c>
      <c r="F478" s="3" t="s">
        <v>52</v>
      </c>
      <c r="G478" s="5">
        <v>72.02</v>
      </c>
      <c r="H478" s="3" t="s">
        <v>34</v>
      </c>
      <c r="I478" s="3" t="s">
        <v>26</v>
      </c>
      <c r="J478" s="5">
        <v>55841.42</v>
      </c>
    </row>
    <row r="479" spans="1:10" x14ac:dyDescent="0.3">
      <c r="A479" s="3" t="s">
        <v>553</v>
      </c>
      <c r="B479" s="4">
        <v>45639</v>
      </c>
      <c r="C479" s="3" t="s">
        <v>36</v>
      </c>
      <c r="D479" s="3" t="s">
        <v>18</v>
      </c>
      <c r="E479" s="3" t="s">
        <v>23</v>
      </c>
      <c r="F479" s="3" t="s">
        <v>98</v>
      </c>
      <c r="G479" s="5">
        <v>69</v>
      </c>
      <c r="H479" s="3" t="s">
        <v>25</v>
      </c>
      <c r="I479" s="3" t="s">
        <v>26</v>
      </c>
      <c r="J479" s="5">
        <v>55772.42</v>
      </c>
    </row>
    <row r="480" spans="1:10" x14ac:dyDescent="0.3">
      <c r="A480" s="3" t="s">
        <v>554</v>
      </c>
      <c r="B480" s="4">
        <v>45640</v>
      </c>
      <c r="C480" s="3" t="s">
        <v>11</v>
      </c>
      <c r="D480" s="3" t="s">
        <v>18</v>
      </c>
      <c r="E480" s="3" t="s">
        <v>28</v>
      </c>
      <c r="F480" s="3" t="s">
        <v>58</v>
      </c>
      <c r="G480" s="5">
        <v>71.73</v>
      </c>
      <c r="H480" s="3" t="s">
        <v>30</v>
      </c>
      <c r="I480" s="3" t="s">
        <v>26</v>
      </c>
      <c r="J480" s="5">
        <v>55700.69</v>
      </c>
    </row>
    <row r="481" spans="1:10" x14ac:dyDescent="0.3">
      <c r="A481" s="3" t="s">
        <v>555</v>
      </c>
      <c r="B481" s="4">
        <v>45640</v>
      </c>
      <c r="C481" s="3" t="s">
        <v>11</v>
      </c>
      <c r="D481" s="3" t="s">
        <v>18</v>
      </c>
      <c r="E481" s="3" t="s">
        <v>23</v>
      </c>
      <c r="F481" s="3" t="s">
        <v>37</v>
      </c>
      <c r="G481" s="5">
        <v>41.13</v>
      </c>
      <c r="H481" s="3" t="s">
        <v>34</v>
      </c>
      <c r="I481" s="3" t="s">
        <v>26</v>
      </c>
      <c r="J481" s="5">
        <v>55659.56</v>
      </c>
    </row>
    <row r="482" spans="1:10" x14ac:dyDescent="0.3">
      <c r="A482" s="3" t="s">
        <v>556</v>
      </c>
      <c r="B482" s="4">
        <v>45641</v>
      </c>
      <c r="C482" s="3" t="s">
        <v>11</v>
      </c>
      <c r="D482" s="3" t="s">
        <v>12</v>
      </c>
      <c r="E482" s="3" t="s">
        <v>13</v>
      </c>
      <c r="F482" s="3" t="s">
        <v>239</v>
      </c>
      <c r="G482" s="5">
        <v>4217.41</v>
      </c>
      <c r="H482" s="3" t="s">
        <v>15</v>
      </c>
      <c r="I482" s="3" t="s">
        <v>16</v>
      </c>
      <c r="J482" s="5">
        <v>59876.97</v>
      </c>
    </row>
    <row r="483" spans="1:10" x14ac:dyDescent="0.3">
      <c r="A483" s="3" t="s">
        <v>557</v>
      </c>
      <c r="B483" s="4">
        <v>45641</v>
      </c>
      <c r="C483" s="3" t="s">
        <v>36</v>
      </c>
      <c r="D483" s="3" t="s">
        <v>18</v>
      </c>
      <c r="E483" s="3" t="s">
        <v>28</v>
      </c>
      <c r="F483" s="3" t="s">
        <v>74</v>
      </c>
      <c r="G483" s="5">
        <v>136.25</v>
      </c>
      <c r="H483" s="3" t="s">
        <v>30</v>
      </c>
      <c r="I483" s="3" t="s">
        <v>26</v>
      </c>
      <c r="J483" s="5">
        <v>59740.72</v>
      </c>
    </row>
    <row r="484" spans="1:10" x14ac:dyDescent="0.3">
      <c r="A484" s="3" t="s">
        <v>558</v>
      </c>
      <c r="B484" s="4">
        <v>45642</v>
      </c>
      <c r="C484" s="3" t="s">
        <v>11</v>
      </c>
      <c r="D484" s="3" t="s">
        <v>18</v>
      </c>
      <c r="E484" s="3" t="s">
        <v>28</v>
      </c>
      <c r="F484" s="3" t="s">
        <v>114</v>
      </c>
      <c r="G484" s="5">
        <v>162.16</v>
      </c>
      <c r="H484" s="3" t="s">
        <v>30</v>
      </c>
      <c r="I484" s="3" t="s">
        <v>26</v>
      </c>
      <c r="J484" s="5">
        <v>59578.559999999998</v>
      </c>
    </row>
    <row r="485" spans="1:10" x14ac:dyDescent="0.3">
      <c r="A485" s="3" t="s">
        <v>559</v>
      </c>
      <c r="B485" s="4">
        <v>45644</v>
      </c>
      <c r="C485" s="3" t="s">
        <v>11</v>
      </c>
      <c r="D485" s="3" t="s">
        <v>18</v>
      </c>
      <c r="E485" s="3" t="s">
        <v>28</v>
      </c>
      <c r="F485" s="3" t="s">
        <v>79</v>
      </c>
      <c r="G485" s="5">
        <v>73.709999999999994</v>
      </c>
      <c r="H485" s="3" t="s">
        <v>30</v>
      </c>
      <c r="I485" s="3" t="s">
        <v>26</v>
      </c>
      <c r="J485" s="5">
        <v>59504.85</v>
      </c>
    </row>
    <row r="486" spans="1:10" x14ac:dyDescent="0.3">
      <c r="A486" s="3" t="s">
        <v>560</v>
      </c>
      <c r="B486" s="4">
        <v>45645</v>
      </c>
      <c r="C486" s="3" t="s">
        <v>36</v>
      </c>
      <c r="D486" s="3" t="s">
        <v>18</v>
      </c>
      <c r="E486" s="3" t="s">
        <v>28</v>
      </c>
      <c r="F486" s="3" t="s">
        <v>58</v>
      </c>
      <c r="G486" s="5">
        <v>56.34</v>
      </c>
      <c r="H486" s="3" t="s">
        <v>34</v>
      </c>
      <c r="I486" s="3" t="s">
        <v>26</v>
      </c>
      <c r="J486" s="5">
        <v>59448.51</v>
      </c>
    </row>
    <row r="487" spans="1:10" x14ac:dyDescent="0.3">
      <c r="A487" s="3" t="s">
        <v>561</v>
      </c>
      <c r="B487" s="4">
        <v>45646</v>
      </c>
      <c r="C487" s="3" t="s">
        <v>36</v>
      </c>
      <c r="D487" s="3" t="s">
        <v>18</v>
      </c>
      <c r="E487" s="3" t="s">
        <v>28</v>
      </c>
      <c r="F487" s="3" t="s">
        <v>52</v>
      </c>
      <c r="G487" s="5">
        <v>30.76</v>
      </c>
      <c r="H487" s="3" t="s">
        <v>30</v>
      </c>
      <c r="I487" s="3" t="s">
        <v>26</v>
      </c>
      <c r="J487" s="5">
        <v>59417.75</v>
      </c>
    </row>
    <row r="488" spans="1:10" x14ac:dyDescent="0.3">
      <c r="A488" s="3" t="s">
        <v>562</v>
      </c>
      <c r="B488" s="4">
        <v>45647</v>
      </c>
      <c r="C488" s="3" t="s">
        <v>11</v>
      </c>
      <c r="D488" s="3" t="s">
        <v>12</v>
      </c>
      <c r="E488" s="3" t="s">
        <v>108</v>
      </c>
      <c r="F488" s="3" t="s">
        <v>127</v>
      </c>
      <c r="G488" s="5">
        <v>657.82</v>
      </c>
      <c r="H488" s="3" t="s">
        <v>110</v>
      </c>
      <c r="I488" s="3" t="s">
        <v>26</v>
      </c>
      <c r="J488" s="5">
        <v>60075.57</v>
      </c>
    </row>
    <row r="489" spans="1:10" x14ac:dyDescent="0.3">
      <c r="A489" s="3" t="s">
        <v>563</v>
      </c>
      <c r="B489" s="4">
        <v>45647</v>
      </c>
      <c r="C489" s="3" t="s">
        <v>11</v>
      </c>
      <c r="D489" s="3" t="s">
        <v>18</v>
      </c>
      <c r="E489" s="3" t="s">
        <v>23</v>
      </c>
      <c r="F489" s="3" t="s">
        <v>37</v>
      </c>
      <c r="G489" s="5">
        <v>13.11</v>
      </c>
      <c r="H489" s="3" t="s">
        <v>30</v>
      </c>
      <c r="I489" s="3" t="s">
        <v>26</v>
      </c>
      <c r="J489" s="5">
        <v>60062.46</v>
      </c>
    </row>
    <row r="490" spans="1:10" x14ac:dyDescent="0.3">
      <c r="A490" s="3" t="s">
        <v>564</v>
      </c>
      <c r="B490" s="4">
        <v>45648</v>
      </c>
      <c r="C490" s="3" t="s">
        <v>36</v>
      </c>
      <c r="D490" s="3" t="s">
        <v>18</v>
      </c>
      <c r="E490" s="3" t="s">
        <v>23</v>
      </c>
      <c r="F490" s="3" t="s">
        <v>135</v>
      </c>
      <c r="G490" s="5">
        <v>72.63</v>
      </c>
      <c r="H490" s="3" t="s">
        <v>34</v>
      </c>
      <c r="I490" s="3" t="s">
        <v>26</v>
      </c>
      <c r="J490" s="5">
        <v>59989.83</v>
      </c>
    </row>
    <row r="491" spans="1:10" x14ac:dyDescent="0.3">
      <c r="A491" s="3" t="s">
        <v>565</v>
      </c>
      <c r="B491" s="4">
        <v>45649</v>
      </c>
      <c r="C491" s="3" t="s">
        <v>11</v>
      </c>
      <c r="D491" s="3" t="s">
        <v>18</v>
      </c>
      <c r="E491" s="3" t="s">
        <v>23</v>
      </c>
      <c r="F491" s="3" t="s">
        <v>32</v>
      </c>
      <c r="G491" s="5">
        <v>73.790000000000006</v>
      </c>
      <c r="H491" s="3" t="s">
        <v>25</v>
      </c>
      <c r="I491" s="3" t="s">
        <v>26</v>
      </c>
      <c r="J491" s="5">
        <v>59916.04</v>
      </c>
    </row>
    <row r="492" spans="1:10" x14ac:dyDescent="0.3">
      <c r="A492" s="3" t="s">
        <v>566</v>
      </c>
      <c r="B492" s="4">
        <v>45650</v>
      </c>
      <c r="C492" s="3" t="s">
        <v>126</v>
      </c>
      <c r="D492" s="3" t="s">
        <v>12</v>
      </c>
      <c r="E492" s="3" t="s">
        <v>108</v>
      </c>
      <c r="F492" s="3" t="s">
        <v>109</v>
      </c>
      <c r="G492" s="5">
        <v>257.58999999999997</v>
      </c>
      <c r="H492" s="3" t="s">
        <v>183</v>
      </c>
      <c r="I492" s="3" t="s">
        <v>26</v>
      </c>
      <c r="J492" s="5">
        <v>60173.63</v>
      </c>
    </row>
    <row r="493" spans="1:10" x14ac:dyDescent="0.3">
      <c r="A493" s="3" t="s">
        <v>567</v>
      </c>
      <c r="B493" s="4">
        <v>45650</v>
      </c>
      <c r="C493" s="3" t="s">
        <v>36</v>
      </c>
      <c r="D493" s="3" t="s">
        <v>18</v>
      </c>
      <c r="E493" s="3" t="s">
        <v>23</v>
      </c>
      <c r="F493" s="3" t="s">
        <v>76</v>
      </c>
      <c r="G493" s="5">
        <v>29.24</v>
      </c>
      <c r="H493" s="3" t="s">
        <v>34</v>
      </c>
      <c r="I493" s="3" t="s">
        <v>26</v>
      </c>
      <c r="J493" s="5">
        <v>60144.39</v>
      </c>
    </row>
    <row r="494" spans="1:10" x14ac:dyDescent="0.3">
      <c r="A494" s="3" t="s">
        <v>568</v>
      </c>
      <c r="B494" s="4">
        <v>45650</v>
      </c>
      <c r="C494" s="3" t="s">
        <v>11</v>
      </c>
      <c r="D494" s="3" t="s">
        <v>18</v>
      </c>
      <c r="E494" s="3" t="s">
        <v>47</v>
      </c>
      <c r="F494" s="3" t="s">
        <v>82</v>
      </c>
      <c r="G494" s="5">
        <v>19.54</v>
      </c>
      <c r="H494" s="3" t="s">
        <v>25</v>
      </c>
      <c r="I494" s="3" t="s">
        <v>26</v>
      </c>
      <c r="J494" s="5">
        <v>60124.85</v>
      </c>
    </row>
    <row r="495" spans="1:10" x14ac:dyDescent="0.3">
      <c r="A495" s="3" t="s">
        <v>569</v>
      </c>
      <c r="B495" s="4">
        <v>45650</v>
      </c>
      <c r="C495" s="3" t="s">
        <v>11</v>
      </c>
      <c r="D495" s="3" t="s">
        <v>18</v>
      </c>
      <c r="E495" s="3" t="s">
        <v>39</v>
      </c>
      <c r="F495" s="3" t="s">
        <v>64</v>
      </c>
      <c r="G495" s="5">
        <v>13.22</v>
      </c>
      <c r="H495" s="3" t="s">
        <v>34</v>
      </c>
      <c r="I495" s="3" t="s">
        <v>26</v>
      </c>
      <c r="J495" s="5">
        <v>60111.63</v>
      </c>
    </row>
    <row r="496" spans="1:10" x14ac:dyDescent="0.3">
      <c r="A496" s="3" t="s">
        <v>570</v>
      </c>
      <c r="B496" s="4">
        <v>45652</v>
      </c>
      <c r="C496" s="3" t="s">
        <v>11</v>
      </c>
      <c r="D496" s="3" t="s">
        <v>18</v>
      </c>
      <c r="E496" s="3" t="s">
        <v>28</v>
      </c>
      <c r="F496" s="3" t="s">
        <v>52</v>
      </c>
      <c r="G496" s="5">
        <v>122.43</v>
      </c>
      <c r="H496" s="3" t="s">
        <v>30</v>
      </c>
      <c r="I496" s="3" t="s">
        <v>26</v>
      </c>
      <c r="J496" s="5">
        <v>59989.2</v>
      </c>
    </row>
    <row r="497" spans="1:10" x14ac:dyDescent="0.3">
      <c r="A497" s="3" t="s">
        <v>571</v>
      </c>
      <c r="B497" s="4">
        <v>45652</v>
      </c>
      <c r="C497" s="3" t="s">
        <v>11</v>
      </c>
      <c r="D497" s="3" t="s">
        <v>18</v>
      </c>
      <c r="E497" s="3" t="s">
        <v>23</v>
      </c>
      <c r="F497" s="3" t="s">
        <v>32</v>
      </c>
      <c r="G497" s="5">
        <v>79.55</v>
      </c>
      <c r="H497" s="3" t="s">
        <v>25</v>
      </c>
      <c r="I497" s="3" t="s">
        <v>26</v>
      </c>
      <c r="J497" s="5">
        <v>59909.65</v>
      </c>
    </row>
    <row r="498" spans="1:10" x14ac:dyDescent="0.3">
      <c r="A498" s="3" t="s">
        <v>572</v>
      </c>
      <c r="B498" s="4">
        <v>45653</v>
      </c>
      <c r="C498" s="3" t="s">
        <v>36</v>
      </c>
      <c r="D498" s="3" t="s">
        <v>18</v>
      </c>
      <c r="E498" s="3" t="s">
        <v>47</v>
      </c>
      <c r="F498" s="3" t="s">
        <v>60</v>
      </c>
      <c r="G498" s="5">
        <v>57.29</v>
      </c>
      <c r="H498" s="3" t="s">
        <v>34</v>
      </c>
      <c r="I498" s="3" t="s">
        <v>26</v>
      </c>
      <c r="J498" s="5">
        <v>59852.36</v>
      </c>
    </row>
    <row r="499" spans="1:10" x14ac:dyDescent="0.3">
      <c r="A499" s="3" t="s">
        <v>573</v>
      </c>
      <c r="B499" s="4">
        <v>45653</v>
      </c>
      <c r="C499" s="3" t="s">
        <v>36</v>
      </c>
      <c r="D499" s="3" t="s">
        <v>18</v>
      </c>
      <c r="E499" s="3" t="s">
        <v>39</v>
      </c>
      <c r="F499" s="3" t="s">
        <v>170</v>
      </c>
      <c r="G499" s="5">
        <v>86.26</v>
      </c>
      <c r="H499" s="3" t="s">
        <v>30</v>
      </c>
      <c r="I499" s="3" t="s">
        <v>26</v>
      </c>
      <c r="J499" s="5">
        <v>59766.1</v>
      </c>
    </row>
    <row r="500" spans="1:10" x14ac:dyDescent="0.3">
      <c r="A500" s="3" t="s">
        <v>574</v>
      </c>
      <c r="B500" s="4">
        <v>45654</v>
      </c>
      <c r="C500" s="3" t="s">
        <v>11</v>
      </c>
      <c r="D500" s="3" t="s">
        <v>18</v>
      </c>
      <c r="E500" s="3" t="s">
        <v>28</v>
      </c>
      <c r="F500" s="3" t="s">
        <v>114</v>
      </c>
      <c r="G500" s="5">
        <v>63.82</v>
      </c>
      <c r="H500" s="3" t="s">
        <v>30</v>
      </c>
      <c r="I500" s="3" t="s">
        <v>26</v>
      </c>
      <c r="J500" s="5">
        <v>59702.28</v>
      </c>
    </row>
    <row r="501" spans="1:10" x14ac:dyDescent="0.3">
      <c r="A501" s="3" t="s">
        <v>575</v>
      </c>
      <c r="B501" s="4">
        <v>45655</v>
      </c>
      <c r="C501" s="3" t="s">
        <v>11</v>
      </c>
      <c r="D501" s="3" t="s">
        <v>18</v>
      </c>
      <c r="E501" s="3" t="s">
        <v>23</v>
      </c>
      <c r="F501" s="3" t="s">
        <v>124</v>
      </c>
      <c r="G501" s="5">
        <v>57.03</v>
      </c>
      <c r="H501" s="3" t="s">
        <v>30</v>
      </c>
      <c r="I501" s="3" t="s">
        <v>26</v>
      </c>
      <c r="J501" s="5">
        <v>59645.25</v>
      </c>
    </row>
    <row r="502" spans="1:10" x14ac:dyDescent="0.3">
      <c r="A502" s="3" t="s">
        <v>576</v>
      </c>
      <c r="B502" s="4">
        <v>45655</v>
      </c>
      <c r="C502" s="3" t="s">
        <v>11</v>
      </c>
      <c r="D502" s="3" t="s">
        <v>18</v>
      </c>
      <c r="E502" s="3" t="s">
        <v>47</v>
      </c>
      <c r="F502" s="3" t="s">
        <v>48</v>
      </c>
      <c r="G502" s="5">
        <v>6.05</v>
      </c>
      <c r="H502" s="3" t="s">
        <v>25</v>
      </c>
      <c r="I502" s="3" t="s">
        <v>26</v>
      </c>
      <c r="J502" s="5">
        <v>59639.199999999997</v>
      </c>
    </row>
    <row r="503" spans="1:10" x14ac:dyDescent="0.3">
      <c r="A503" s="3" t="s">
        <v>577</v>
      </c>
      <c r="B503" s="4">
        <v>45656</v>
      </c>
      <c r="C503" s="3" t="s">
        <v>11</v>
      </c>
      <c r="D503" s="3" t="s">
        <v>18</v>
      </c>
      <c r="E503" s="3" t="s">
        <v>47</v>
      </c>
      <c r="F503" s="3" t="s">
        <v>82</v>
      </c>
      <c r="G503" s="5">
        <v>37.85</v>
      </c>
      <c r="H503" s="3" t="s">
        <v>30</v>
      </c>
      <c r="I503" s="3" t="s">
        <v>26</v>
      </c>
      <c r="J503" s="5">
        <v>59601.35</v>
      </c>
    </row>
    <row r="504" spans="1:10" x14ac:dyDescent="0.3">
      <c r="A504" s="3" t="s">
        <v>578</v>
      </c>
      <c r="B504" s="4">
        <v>45657</v>
      </c>
      <c r="C504" s="3" t="s">
        <v>36</v>
      </c>
      <c r="D504" s="3" t="s">
        <v>18</v>
      </c>
      <c r="E504" s="3" t="s">
        <v>28</v>
      </c>
      <c r="F504" s="3" t="s">
        <v>114</v>
      </c>
      <c r="G504" s="5">
        <v>47.21</v>
      </c>
      <c r="H504" s="3" t="s">
        <v>34</v>
      </c>
      <c r="I504" s="3" t="s">
        <v>26</v>
      </c>
      <c r="J504" s="5">
        <v>59554.14</v>
      </c>
    </row>
    <row r="505" spans="1:10" x14ac:dyDescent="0.3">
      <c r="A505" s="3" t="s">
        <v>579</v>
      </c>
      <c r="B505" s="4">
        <v>45657</v>
      </c>
      <c r="C505" s="3" t="s">
        <v>11</v>
      </c>
      <c r="D505" s="3" t="s">
        <v>18</v>
      </c>
      <c r="E505" s="3" t="s">
        <v>47</v>
      </c>
      <c r="F505" s="3" t="s">
        <v>60</v>
      </c>
      <c r="G505" s="5">
        <v>25.79</v>
      </c>
      <c r="H505" s="3" t="s">
        <v>34</v>
      </c>
      <c r="I505" s="3" t="s">
        <v>26</v>
      </c>
      <c r="J505" s="5">
        <v>59528.35</v>
      </c>
    </row>
    <row r="506" spans="1:10" x14ac:dyDescent="0.3">
      <c r="A506" s="3" t="s">
        <v>580</v>
      </c>
      <c r="B506" s="4">
        <v>45658</v>
      </c>
      <c r="C506" s="3" t="s">
        <v>11</v>
      </c>
      <c r="D506" s="3" t="s">
        <v>12</v>
      </c>
      <c r="E506" s="3" t="s">
        <v>13</v>
      </c>
      <c r="F506" s="3" t="s">
        <v>239</v>
      </c>
      <c r="G506" s="5">
        <v>3891.8</v>
      </c>
      <c r="H506" s="3" t="s">
        <v>15</v>
      </c>
      <c r="I506" s="3" t="s">
        <v>16</v>
      </c>
      <c r="J506" s="5">
        <v>63420.15</v>
      </c>
    </row>
    <row r="507" spans="1:10" x14ac:dyDescent="0.3">
      <c r="A507" s="3" t="s">
        <v>581</v>
      </c>
      <c r="B507" s="4">
        <v>45658</v>
      </c>
      <c r="C507" s="3" t="s">
        <v>11</v>
      </c>
      <c r="D507" s="3" t="s">
        <v>18</v>
      </c>
      <c r="E507" s="3" t="s">
        <v>19</v>
      </c>
      <c r="F507" s="3" t="s">
        <v>20</v>
      </c>
      <c r="G507" s="5">
        <v>1313.63</v>
      </c>
      <c r="H507" s="3" t="s">
        <v>21</v>
      </c>
      <c r="I507" s="3" t="s">
        <v>16</v>
      </c>
      <c r="J507" s="5">
        <v>62106.52</v>
      </c>
    </row>
    <row r="508" spans="1:10" x14ac:dyDescent="0.3">
      <c r="A508" s="3" t="s">
        <v>582</v>
      </c>
      <c r="B508" s="4">
        <v>45658</v>
      </c>
      <c r="C508" s="3" t="s">
        <v>36</v>
      </c>
      <c r="D508" s="3" t="s">
        <v>18</v>
      </c>
      <c r="E508" s="3" t="s">
        <v>23</v>
      </c>
      <c r="F508" s="3" t="s">
        <v>24</v>
      </c>
      <c r="G508" s="5">
        <v>28.47</v>
      </c>
      <c r="H508" s="3" t="s">
        <v>25</v>
      </c>
      <c r="I508" s="3" t="s">
        <v>26</v>
      </c>
      <c r="J508" s="5">
        <v>62078.05</v>
      </c>
    </row>
    <row r="509" spans="1:10" x14ac:dyDescent="0.3">
      <c r="A509" s="3" t="s">
        <v>583</v>
      </c>
      <c r="B509" s="4">
        <v>45659</v>
      </c>
      <c r="C509" s="3" t="s">
        <v>11</v>
      </c>
      <c r="D509" s="3" t="s">
        <v>18</v>
      </c>
      <c r="E509" s="3" t="s">
        <v>47</v>
      </c>
      <c r="F509" s="3" t="s">
        <v>82</v>
      </c>
      <c r="G509" s="5">
        <v>13.76</v>
      </c>
      <c r="H509" s="3" t="s">
        <v>30</v>
      </c>
      <c r="I509" s="3" t="s">
        <v>26</v>
      </c>
      <c r="J509" s="5">
        <v>62064.29</v>
      </c>
    </row>
    <row r="510" spans="1:10" x14ac:dyDescent="0.3">
      <c r="A510" s="3" t="s">
        <v>584</v>
      </c>
      <c r="B510" s="4">
        <v>45660</v>
      </c>
      <c r="C510" s="3" t="s">
        <v>11</v>
      </c>
      <c r="D510" s="3" t="s">
        <v>12</v>
      </c>
      <c r="E510" s="3" t="s">
        <v>108</v>
      </c>
      <c r="F510" s="3" t="s">
        <v>354</v>
      </c>
      <c r="G510" s="5">
        <v>640.88</v>
      </c>
      <c r="H510" s="3" t="s">
        <v>110</v>
      </c>
      <c r="I510" s="3" t="s">
        <v>26</v>
      </c>
      <c r="J510" s="5">
        <v>62705.17</v>
      </c>
    </row>
    <row r="511" spans="1:10" x14ac:dyDescent="0.3">
      <c r="A511" s="3" t="s">
        <v>585</v>
      </c>
      <c r="B511" s="4">
        <v>45660</v>
      </c>
      <c r="C511" s="3" t="s">
        <v>11</v>
      </c>
      <c r="D511" s="3" t="s">
        <v>18</v>
      </c>
      <c r="E511" s="3" t="s">
        <v>23</v>
      </c>
      <c r="F511" s="3" t="s">
        <v>24</v>
      </c>
      <c r="G511" s="5">
        <v>36.369999999999997</v>
      </c>
      <c r="H511" s="3" t="s">
        <v>30</v>
      </c>
      <c r="I511" s="3" t="s">
        <v>26</v>
      </c>
      <c r="J511" s="5">
        <v>62668.800000000003</v>
      </c>
    </row>
    <row r="512" spans="1:10" x14ac:dyDescent="0.3">
      <c r="A512" s="3" t="s">
        <v>586</v>
      </c>
      <c r="B512" s="4">
        <v>45661</v>
      </c>
      <c r="C512" s="3" t="s">
        <v>36</v>
      </c>
      <c r="D512" s="3" t="s">
        <v>18</v>
      </c>
      <c r="E512" s="3" t="s">
        <v>23</v>
      </c>
      <c r="F512" s="3" t="s">
        <v>98</v>
      </c>
      <c r="G512" s="5">
        <v>55.35</v>
      </c>
      <c r="H512" s="3" t="s">
        <v>25</v>
      </c>
      <c r="I512" s="3" t="s">
        <v>26</v>
      </c>
      <c r="J512" s="5">
        <v>62613.45</v>
      </c>
    </row>
    <row r="513" spans="1:10" x14ac:dyDescent="0.3">
      <c r="A513" s="3" t="s">
        <v>587</v>
      </c>
      <c r="B513" s="4">
        <v>45661</v>
      </c>
      <c r="C513" s="3" t="s">
        <v>36</v>
      </c>
      <c r="D513" s="3" t="s">
        <v>18</v>
      </c>
      <c r="E513" s="3" t="s">
        <v>39</v>
      </c>
      <c r="F513" s="3" t="s">
        <v>64</v>
      </c>
      <c r="G513" s="5">
        <v>16.559999999999999</v>
      </c>
      <c r="H513" s="3" t="s">
        <v>34</v>
      </c>
      <c r="I513" s="3" t="s">
        <v>26</v>
      </c>
      <c r="J513" s="5">
        <v>62596.89</v>
      </c>
    </row>
    <row r="514" spans="1:10" x14ac:dyDescent="0.3">
      <c r="A514" s="3" t="s">
        <v>588</v>
      </c>
      <c r="B514" s="4">
        <v>45663</v>
      </c>
      <c r="C514" s="3" t="s">
        <v>11</v>
      </c>
      <c r="D514" s="3" t="s">
        <v>18</v>
      </c>
      <c r="E514" s="3" t="s">
        <v>28</v>
      </c>
      <c r="F514" s="3" t="s">
        <v>58</v>
      </c>
      <c r="G514" s="5">
        <v>19.82</v>
      </c>
      <c r="H514" s="3" t="s">
        <v>30</v>
      </c>
      <c r="I514" s="3" t="s">
        <v>26</v>
      </c>
      <c r="J514" s="5">
        <v>62577.07</v>
      </c>
    </row>
    <row r="515" spans="1:10" x14ac:dyDescent="0.3">
      <c r="A515" s="3" t="s">
        <v>589</v>
      </c>
      <c r="B515" s="4">
        <v>45663</v>
      </c>
      <c r="C515" s="3" t="s">
        <v>11</v>
      </c>
      <c r="D515" s="3" t="s">
        <v>18</v>
      </c>
      <c r="E515" s="3" t="s">
        <v>23</v>
      </c>
      <c r="F515" s="3" t="s">
        <v>135</v>
      </c>
      <c r="G515" s="5">
        <v>50.38</v>
      </c>
      <c r="H515" s="3" t="s">
        <v>34</v>
      </c>
      <c r="I515" s="3" t="s">
        <v>26</v>
      </c>
      <c r="J515" s="5">
        <v>62526.69</v>
      </c>
    </row>
    <row r="516" spans="1:10" x14ac:dyDescent="0.3">
      <c r="A516" s="3" t="s">
        <v>590</v>
      </c>
      <c r="B516" s="4">
        <v>45664</v>
      </c>
      <c r="C516" s="3" t="s">
        <v>11</v>
      </c>
      <c r="D516" s="3" t="s">
        <v>18</v>
      </c>
      <c r="E516" s="3" t="s">
        <v>43</v>
      </c>
      <c r="F516" s="3" t="s">
        <v>44</v>
      </c>
      <c r="G516" s="5">
        <v>64.44</v>
      </c>
      <c r="H516" s="3" t="s">
        <v>21</v>
      </c>
      <c r="I516" s="3" t="s">
        <v>16</v>
      </c>
      <c r="J516" s="5">
        <v>62462.25</v>
      </c>
    </row>
    <row r="517" spans="1:10" x14ac:dyDescent="0.3">
      <c r="A517" s="3" t="s">
        <v>591</v>
      </c>
      <c r="B517" s="4">
        <v>45664</v>
      </c>
      <c r="C517" s="3" t="s">
        <v>11</v>
      </c>
      <c r="D517" s="3" t="s">
        <v>18</v>
      </c>
      <c r="E517" s="3" t="s">
        <v>28</v>
      </c>
      <c r="F517" s="3" t="s">
        <v>29</v>
      </c>
      <c r="G517" s="5">
        <v>15.38</v>
      </c>
      <c r="H517" s="3" t="s">
        <v>34</v>
      </c>
      <c r="I517" s="3" t="s">
        <v>26</v>
      </c>
      <c r="J517" s="5">
        <v>62446.87</v>
      </c>
    </row>
    <row r="518" spans="1:10" x14ac:dyDescent="0.3">
      <c r="A518" s="3" t="s">
        <v>592</v>
      </c>
      <c r="B518" s="4">
        <v>45664</v>
      </c>
      <c r="C518" s="3" t="s">
        <v>11</v>
      </c>
      <c r="D518" s="3" t="s">
        <v>18</v>
      </c>
      <c r="E518" s="3" t="s">
        <v>39</v>
      </c>
      <c r="F518" s="3" t="s">
        <v>186</v>
      </c>
      <c r="G518" s="5">
        <v>52.91</v>
      </c>
      <c r="H518" s="3" t="s">
        <v>30</v>
      </c>
      <c r="I518" s="3" t="s">
        <v>26</v>
      </c>
      <c r="J518" s="5">
        <v>62393.96</v>
      </c>
    </row>
    <row r="519" spans="1:10" x14ac:dyDescent="0.3">
      <c r="A519" s="3" t="s">
        <v>593</v>
      </c>
      <c r="B519" s="4">
        <v>45665</v>
      </c>
      <c r="C519" s="3" t="s">
        <v>11</v>
      </c>
      <c r="D519" s="3" t="s">
        <v>18</v>
      </c>
      <c r="E519" s="3" t="s">
        <v>28</v>
      </c>
      <c r="F519" s="3" t="s">
        <v>58</v>
      </c>
      <c r="G519" s="5">
        <v>87.36</v>
      </c>
      <c r="H519" s="3" t="s">
        <v>30</v>
      </c>
      <c r="I519" s="3" t="s">
        <v>26</v>
      </c>
      <c r="J519" s="5">
        <v>62306.6</v>
      </c>
    </row>
    <row r="520" spans="1:10" x14ac:dyDescent="0.3">
      <c r="A520" s="3" t="s">
        <v>594</v>
      </c>
      <c r="B520" s="4">
        <v>45665</v>
      </c>
      <c r="C520" s="3" t="s">
        <v>36</v>
      </c>
      <c r="D520" s="3" t="s">
        <v>18</v>
      </c>
      <c r="E520" s="3" t="s">
        <v>23</v>
      </c>
      <c r="F520" s="3" t="s">
        <v>54</v>
      </c>
      <c r="G520" s="5">
        <v>37.89</v>
      </c>
      <c r="H520" s="3" t="s">
        <v>30</v>
      </c>
      <c r="I520" s="3" t="s">
        <v>26</v>
      </c>
      <c r="J520" s="5">
        <v>62268.71</v>
      </c>
    </row>
    <row r="521" spans="1:10" x14ac:dyDescent="0.3">
      <c r="A521" s="3" t="s">
        <v>595</v>
      </c>
      <c r="B521" s="4">
        <v>45666</v>
      </c>
      <c r="C521" s="3" t="s">
        <v>11</v>
      </c>
      <c r="D521" s="3" t="s">
        <v>18</v>
      </c>
      <c r="E521" s="3" t="s">
        <v>43</v>
      </c>
      <c r="F521" s="3" t="s">
        <v>44</v>
      </c>
      <c r="G521" s="5">
        <v>77.84</v>
      </c>
      <c r="H521" s="3" t="s">
        <v>21</v>
      </c>
      <c r="I521" s="3" t="s">
        <v>16</v>
      </c>
      <c r="J521" s="5">
        <v>62190.87</v>
      </c>
    </row>
    <row r="522" spans="1:10" x14ac:dyDescent="0.3">
      <c r="A522" s="3" t="s">
        <v>596</v>
      </c>
      <c r="B522" s="4">
        <v>45666</v>
      </c>
      <c r="C522" s="3" t="s">
        <v>11</v>
      </c>
      <c r="D522" s="3" t="s">
        <v>18</v>
      </c>
      <c r="E522" s="3" t="s">
        <v>47</v>
      </c>
      <c r="F522" s="3" t="s">
        <v>48</v>
      </c>
      <c r="G522" s="5">
        <v>50.56</v>
      </c>
      <c r="H522" s="3" t="s">
        <v>25</v>
      </c>
      <c r="I522" s="3" t="s">
        <v>26</v>
      </c>
      <c r="J522" s="5">
        <v>62140.31</v>
      </c>
    </row>
    <row r="523" spans="1:10" x14ac:dyDescent="0.3">
      <c r="A523" s="3" t="s">
        <v>597</v>
      </c>
      <c r="B523" s="4">
        <v>45667</v>
      </c>
      <c r="C523" s="3" t="s">
        <v>36</v>
      </c>
      <c r="D523" s="3" t="s">
        <v>18</v>
      </c>
      <c r="E523" s="3" t="s">
        <v>28</v>
      </c>
      <c r="F523" s="3" t="s">
        <v>114</v>
      </c>
      <c r="G523" s="5">
        <v>44.71</v>
      </c>
      <c r="H523" s="3" t="s">
        <v>34</v>
      </c>
      <c r="I523" s="3" t="s">
        <v>26</v>
      </c>
      <c r="J523" s="5">
        <v>62095.6</v>
      </c>
    </row>
    <row r="524" spans="1:10" x14ac:dyDescent="0.3">
      <c r="A524" s="3" t="s">
        <v>598</v>
      </c>
      <c r="B524" s="4">
        <v>45667</v>
      </c>
      <c r="C524" s="3" t="s">
        <v>11</v>
      </c>
      <c r="D524" s="3" t="s">
        <v>18</v>
      </c>
      <c r="E524" s="3" t="s">
        <v>23</v>
      </c>
      <c r="F524" s="3" t="s">
        <v>124</v>
      </c>
      <c r="G524" s="5">
        <v>40.14</v>
      </c>
      <c r="H524" s="3" t="s">
        <v>30</v>
      </c>
      <c r="I524" s="3" t="s">
        <v>26</v>
      </c>
      <c r="J524" s="5">
        <v>62055.46</v>
      </c>
    </row>
    <row r="525" spans="1:10" x14ac:dyDescent="0.3">
      <c r="A525" s="3" t="s">
        <v>599</v>
      </c>
      <c r="B525" s="4">
        <v>45667</v>
      </c>
      <c r="C525" s="3" t="s">
        <v>36</v>
      </c>
      <c r="D525" s="3" t="s">
        <v>18</v>
      </c>
      <c r="E525" s="3" t="s">
        <v>39</v>
      </c>
      <c r="F525" s="3" t="s">
        <v>156</v>
      </c>
      <c r="G525" s="5">
        <v>99.03</v>
      </c>
      <c r="H525" s="3" t="s">
        <v>34</v>
      </c>
      <c r="I525" s="3" t="s">
        <v>26</v>
      </c>
      <c r="J525" s="5">
        <v>61956.43</v>
      </c>
    </row>
    <row r="526" spans="1:10" x14ac:dyDescent="0.3">
      <c r="A526" s="3" t="s">
        <v>600</v>
      </c>
      <c r="B526" s="4">
        <v>45668</v>
      </c>
      <c r="C526" s="3" t="s">
        <v>11</v>
      </c>
      <c r="D526" s="3" t="s">
        <v>18</v>
      </c>
      <c r="E526" s="3" t="s">
        <v>28</v>
      </c>
      <c r="F526" s="3" t="s">
        <v>52</v>
      </c>
      <c r="G526" s="5">
        <v>163.13999999999999</v>
      </c>
      <c r="H526" s="3" t="s">
        <v>30</v>
      </c>
      <c r="I526" s="3" t="s">
        <v>26</v>
      </c>
      <c r="J526" s="5">
        <v>61793.29</v>
      </c>
    </row>
    <row r="527" spans="1:10" x14ac:dyDescent="0.3">
      <c r="A527" s="3" t="s">
        <v>601</v>
      </c>
      <c r="B527" s="4">
        <v>45669</v>
      </c>
      <c r="C527" s="3" t="s">
        <v>11</v>
      </c>
      <c r="D527" s="3" t="s">
        <v>12</v>
      </c>
      <c r="E527" s="3" t="s">
        <v>108</v>
      </c>
      <c r="F527" s="3" t="s">
        <v>127</v>
      </c>
      <c r="G527" s="5">
        <v>1243.75</v>
      </c>
      <c r="H527" s="3" t="s">
        <v>183</v>
      </c>
      <c r="I527" s="3" t="s">
        <v>26</v>
      </c>
      <c r="J527" s="5">
        <v>63037.04</v>
      </c>
    </row>
    <row r="528" spans="1:10" x14ac:dyDescent="0.3">
      <c r="A528" s="3" t="s">
        <v>602</v>
      </c>
      <c r="B528" s="4">
        <v>45669</v>
      </c>
      <c r="C528" s="3" t="s">
        <v>36</v>
      </c>
      <c r="D528" s="3" t="s">
        <v>18</v>
      </c>
      <c r="E528" s="3" t="s">
        <v>23</v>
      </c>
      <c r="F528" s="3" t="s">
        <v>87</v>
      </c>
      <c r="G528" s="5">
        <v>43.19</v>
      </c>
      <c r="H528" s="3" t="s">
        <v>34</v>
      </c>
      <c r="I528" s="3" t="s">
        <v>26</v>
      </c>
      <c r="J528" s="5">
        <v>62993.85</v>
      </c>
    </row>
    <row r="529" spans="1:10" x14ac:dyDescent="0.3">
      <c r="A529" s="3" t="s">
        <v>603</v>
      </c>
      <c r="B529" s="4">
        <v>45670</v>
      </c>
      <c r="C529" s="3" t="s">
        <v>36</v>
      </c>
      <c r="D529" s="3" t="s">
        <v>18</v>
      </c>
      <c r="E529" s="3" t="s">
        <v>23</v>
      </c>
      <c r="F529" s="3" t="s">
        <v>76</v>
      </c>
      <c r="G529" s="5">
        <v>32.479999999999997</v>
      </c>
      <c r="H529" s="3" t="s">
        <v>25</v>
      </c>
      <c r="I529" s="3" t="s">
        <v>26</v>
      </c>
      <c r="J529" s="5">
        <v>62961.37</v>
      </c>
    </row>
    <row r="530" spans="1:10" x14ac:dyDescent="0.3">
      <c r="A530" s="3" t="s">
        <v>604</v>
      </c>
      <c r="B530" s="4">
        <v>45671</v>
      </c>
      <c r="C530" s="3" t="s">
        <v>36</v>
      </c>
      <c r="D530" s="3" t="s">
        <v>18</v>
      </c>
      <c r="E530" s="3" t="s">
        <v>23</v>
      </c>
      <c r="F530" s="3" t="s">
        <v>24</v>
      </c>
      <c r="G530" s="5">
        <v>13.22</v>
      </c>
      <c r="H530" s="3" t="s">
        <v>30</v>
      </c>
      <c r="I530" s="3" t="s">
        <v>26</v>
      </c>
      <c r="J530" s="5">
        <v>62948.15</v>
      </c>
    </row>
    <row r="531" spans="1:10" x14ac:dyDescent="0.3">
      <c r="A531" s="3" t="s">
        <v>605</v>
      </c>
      <c r="B531" s="4">
        <v>45672</v>
      </c>
      <c r="C531" s="3" t="s">
        <v>36</v>
      </c>
      <c r="D531" s="3" t="s">
        <v>18</v>
      </c>
      <c r="E531" s="3" t="s">
        <v>47</v>
      </c>
      <c r="F531" s="3" t="s">
        <v>48</v>
      </c>
      <c r="G531" s="5">
        <v>21.06</v>
      </c>
      <c r="H531" s="3" t="s">
        <v>30</v>
      </c>
      <c r="I531" s="3" t="s">
        <v>26</v>
      </c>
      <c r="J531" s="5">
        <v>62927.09</v>
      </c>
    </row>
    <row r="532" spans="1:10" x14ac:dyDescent="0.3">
      <c r="A532" s="3" t="s">
        <v>606</v>
      </c>
      <c r="B532" s="4">
        <v>45673</v>
      </c>
      <c r="C532" s="3" t="s">
        <v>11</v>
      </c>
      <c r="D532" s="3" t="s">
        <v>18</v>
      </c>
      <c r="E532" s="3" t="s">
        <v>39</v>
      </c>
      <c r="F532" s="3" t="s">
        <v>170</v>
      </c>
      <c r="G532" s="5">
        <v>80.709999999999994</v>
      </c>
      <c r="H532" s="3" t="s">
        <v>30</v>
      </c>
      <c r="I532" s="3" t="s">
        <v>26</v>
      </c>
      <c r="J532" s="5">
        <v>62846.38</v>
      </c>
    </row>
    <row r="533" spans="1:10" x14ac:dyDescent="0.3">
      <c r="A533" s="3" t="s">
        <v>607</v>
      </c>
      <c r="B533" s="4">
        <v>45674</v>
      </c>
      <c r="C533" s="3" t="s">
        <v>36</v>
      </c>
      <c r="D533" s="3" t="s">
        <v>18</v>
      </c>
      <c r="E533" s="3" t="s">
        <v>28</v>
      </c>
      <c r="F533" s="3" t="s">
        <v>29</v>
      </c>
      <c r="G533" s="5">
        <v>125.53</v>
      </c>
      <c r="H533" s="3" t="s">
        <v>30</v>
      </c>
      <c r="I533" s="3" t="s">
        <v>26</v>
      </c>
      <c r="J533" s="5">
        <v>62720.85</v>
      </c>
    </row>
    <row r="534" spans="1:10" x14ac:dyDescent="0.3">
      <c r="A534" s="3" t="s">
        <v>608</v>
      </c>
      <c r="B534" s="4">
        <v>45674</v>
      </c>
      <c r="C534" s="3" t="s">
        <v>36</v>
      </c>
      <c r="D534" s="3" t="s">
        <v>18</v>
      </c>
      <c r="E534" s="3" t="s">
        <v>23</v>
      </c>
      <c r="F534" s="3" t="s">
        <v>98</v>
      </c>
      <c r="G534" s="5">
        <v>53.8</v>
      </c>
      <c r="H534" s="3" t="s">
        <v>25</v>
      </c>
      <c r="I534" s="3" t="s">
        <v>26</v>
      </c>
      <c r="J534" s="5">
        <v>62667.05</v>
      </c>
    </row>
    <row r="535" spans="1:10" x14ac:dyDescent="0.3">
      <c r="A535" s="3" t="s">
        <v>609</v>
      </c>
      <c r="B535" s="4">
        <v>45674</v>
      </c>
      <c r="C535" s="3" t="s">
        <v>36</v>
      </c>
      <c r="D535" s="3" t="s">
        <v>18</v>
      </c>
      <c r="E535" s="3" t="s">
        <v>47</v>
      </c>
      <c r="F535" s="3" t="s">
        <v>106</v>
      </c>
      <c r="G535" s="5">
        <v>5.03</v>
      </c>
      <c r="H535" s="3" t="s">
        <v>25</v>
      </c>
      <c r="I535" s="3" t="s">
        <v>26</v>
      </c>
      <c r="J535" s="5">
        <v>62662.02</v>
      </c>
    </row>
    <row r="536" spans="1:10" x14ac:dyDescent="0.3">
      <c r="A536" s="3" t="s">
        <v>610</v>
      </c>
      <c r="B536" s="4">
        <v>45677</v>
      </c>
      <c r="C536" s="3" t="s">
        <v>36</v>
      </c>
      <c r="D536" s="3" t="s">
        <v>18</v>
      </c>
      <c r="E536" s="3" t="s">
        <v>47</v>
      </c>
      <c r="F536" s="3" t="s">
        <v>82</v>
      </c>
      <c r="G536" s="5">
        <v>8.61</v>
      </c>
      <c r="H536" s="3" t="s">
        <v>25</v>
      </c>
      <c r="I536" s="3" t="s">
        <v>26</v>
      </c>
      <c r="J536" s="5">
        <v>62653.41</v>
      </c>
    </row>
    <row r="537" spans="1:10" x14ac:dyDescent="0.3">
      <c r="A537" s="3" t="s">
        <v>611</v>
      </c>
      <c r="B537" s="4">
        <v>45678</v>
      </c>
      <c r="C537" s="3" t="s">
        <v>36</v>
      </c>
      <c r="D537" s="3" t="s">
        <v>18</v>
      </c>
      <c r="E537" s="3" t="s">
        <v>28</v>
      </c>
      <c r="F537" s="3" t="s">
        <v>29</v>
      </c>
      <c r="G537" s="5">
        <v>73</v>
      </c>
      <c r="H537" s="3" t="s">
        <v>30</v>
      </c>
      <c r="I537" s="3" t="s">
        <v>26</v>
      </c>
      <c r="J537" s="5">
        <v>62580.41</v>
      </c>
    </row>
    <row r="538" spans="1:10" x14ac:dyDescent="0.3">
      <c r="A538" s="3" t="s">
        <v>612</v>
      </c>
      <c r="B538" s="4">
        <v>45679</v>
      </c>
      <c r="C538" s="3" t="s">
        <v>11</v>
      </c>
      <c r="D538" s="3" t="s">
        <v>18</v>
      </c>
      <c r="E538" s="3" t="s">
        <v>23</v>
      </c>
      <c r="F538" s="3" t="s">
        <v>98</v>
      </c>
      <c r="G538" s="5">
        <v>58.27</v>
      </c>
      <c r="H538" s="3" t="s">
        <v>30</v>
      </c>
      <c r="I538" s="3" t="s">
        <v>26</v>
      </c>
      <c r="J538" s="5">
        <v>62522.14</v>
      </c>
    </row>
    <row r="539" spans="1:10" x14ac:dyDescent="0.3">
      <c r="A539" s="3" t="s">
        <v>613</v>
      </c>
      <c r="B539" s="4">
        <v>45680</v>
      </c>
      <c r="C539" s="3" t="s">
        <v>11</v>
      </c>
      <c r="D539" s="3" t="s">
        <v>18</v>
      </c>
      <c r="E539" s="3" t="s">
        <v>28</v>
      </c>
      <c r="F539" s="3" t="s">
        <v>58</v>
      </c>
      <c r="G539" s="5">
        <v>33.35</v>
      </c>
      <c r="H539" s="3" t="s">
        <v>30</v>
      </c>
      <c r="I539" s="3" t="s">
        <v>26</v>
      </c>
      <c r="J539" s="5">
        <v>62488.79</v>
      </c>
    </row>
    <row r="540" spans="1:10" x14ac:dyDescent="0.3">
      <c r="A540" s="3" t="s">
        <v>614</v>
      </c>
      <c r="B540" s="4">
        <v>45681</v>
      </c>
      <c r="C540" s="3" t="s">
        <v>11</v>
      </c>
      <c r="D540" s="3" t="s">
        <v>18</v>
      </c>
      <c r="E540" s="3" t="s">
        <v>23</v>
      </c>
      <c r="F540" s="3" t="s">
        <v>124</v>
      </c>
      <c r="G540" s="5">
        <v>57.37</v>
      </c>
      <c r="H540" s="3" t="s">
        <v>34</v>
      </c>
      <c r="I540" s="3" t="s">
        <v>26</v>
      </c>
      <c r="J540" s="5">
        <v>62431.42</v>
      </c>
    </row>
    <row r="541" spans="1:10" x14ac:dyDescent="0.3">
      <c r="A541" s="3" t="s">
        <v>615</v>
      </c>
      <c r="B541" s="4">
        <v>45682</v>
      </c>
      <c r="C541" s="3" t="s">
        <v>36</v>
      </c>
      <c r="D541" s="3" t="s">
        <v>18</v>
      </c>
      <c r="E541" s="3" t="s">
        <v>28</v>
      </c>
      <c r="F541" s="3" t="s">
        <v>29</v>
      </c>
      <c r="G541" s="5">
        <v>137.77000000000001</v>
      </c>
      <c r="H541" s="3" t="s">
        <v>34</v>
      </c>
      <c r="I541" s="3" t="s">
        <v>26</v>
      </c>
      <c r="J541" s="5">
        <v>62293.65</v>
      </c>
    </row>
    <row r="542" spans="1:10" x14ac:dyDescent="0.3">
      <c r="A542" s="3" t="s">
        <v>616</v>
      </c>
      <c r="B542" s="4">
        <v>45682</v>
      </c>
      <c r="C542" s="3" t="s">
        <v>11</v>
      </c>
      <c r="D542" s="3" t="s">
        <v>18</v>
      </c>
      <c r="E542" s="3" t="s">
        <v>23</v>
      </c>
      <c r="F542" s="3" t="s">
        <v>135</v>
      </c>
      <c r="G542" s="5">
        <v>13.04</v>
      </c>
      <c r="H542" s="3" t="s">
        <v>25</v>
      </c>
      <c r="I542" s="3" t="s">
        <v>26</v>
      </c>
      <c r="J542" s="5">
        <v>62280.61</v>
      </c>
    </row>
    <row r="543" spans="1:10" x14ac:dyDescent="0.3">
      <c r="A543" s="3" t="s">
        <v>617</v>
      </c>
      <c r="B543" s="4">
        <v>45682</v>
      </c>
      <c r="C543" s="3" t="s">
        <v>36</v>
      </c>
      <c r="D543" s="3" t="s">
        <v>18</v>
      </c>
      <c r="E543" s="3" t="s">
        <v>47</v>
      </c>
      <c r="F543" s="3" t="s">
        <v>60</v>
      </c>
      <c r="G543" s="5">
        <v>55.35</v>
      </c>
      <c r="H543" s="3" t="s">
        <v>30</v>
      </c>
      <c r="I543" s="3" t="s">
        <v>26</v>
      </c>
      <c r="J543" s="5">
        <v>62225.26</v>
      </c>
    </row>
    <row r="544" spans="1:10" x14ac:dyDescent="0.3">
      <c r="A544" s="3" t="s">
        <v>618</v>
      </c>
      <c r="B544" s="4">
        <v>45683</v>
      </c>
      <c r="C544" s="3" t="s">
        <v>11</v>
      </c>
      <c r="D544" s="3" t="s">
        <v>18</v>
      </c>
      <c r="E544" s="3" t="s">
        <v>28</v>
      </c>
      <c r="F544" s="3" t="s">
        <v>117</v>
      </c>
      <c r="G544" s="5">
        <v>52.45</v>
      </c>
      <c r="H544" s="3" t="s">
        <v>30</v>
      </c>
      <c r="I544" s="3" t="s">
        <v>26</v>
      </c>
      <c r="J544" s="5">
        <v>62172.81</v>
      </c>
    </row>
    <row r="545" spans="1:10" x14ac:dyDescent="0.3">
      <c r="A545" s="3" t="s">
        <v>619</v>
      </c>
      <c r="B545" s="4">
        <v>45684</v>
      </c>
      <c r="C545" s="3" t="s">
        <v>36</v>
      </c>
      <c r="D545" s="3" t="s">
        <v>18</v>
      </c>
      <c r="E545" s="3" t="s">
        <v>23</v>
      </c>
      <c r="F545" s="3" t="s">
        <v>87</v>
      </c>
      <c r="G545" s="5">
        <v>63.39</v>
      </c>
      <c r="H545" s="3" t="s">
        <v>30</v>
      </c>
      <c r="I545" s="3" t="s">
        <v>26</v>
      </c>
      <c r="J545" s="5">
        <v>62109.42</v>
      </c>
    </row>
    <row r="546" spans="1:10" x14ac:dyDescent="0.3">
      <c r="A546" s="3" t="s">
        <v>620</v>
      </c>
      <c r="B546" s="4">
        <v>45685</v>
      </c>
      <c r="C546" s="3" t="s">
        <v>11</v>
      </c>
      <c r="D546" s="3" t="s">
        <v>12</v>
      </c>
      <c r="E546" s="3" t="s">
        <v>108</v>
      </c>
      <c r="F546" s="3" t="s">
        <v>388</v>
      </c>
      <c r="G546" s="5">
        <v>1440.04</v>
      </c>
      <c r="H546" s="3" t="s">
        <v>110</v>
      </c>
      <c r="I546" s="3" t="s">
        <v>26</v>
      </c>
      <c r="J546" s="5">
        <v>63549.46</v>
      </c>
    </row>
    <row r="547" spans="1:10" x14ac:dyDescent="0.3">
      <c r="A547" s="3" t="s">
        <v>621</v>
      </c>
      <c r="B547" s="4">
        <v>45685</v>
      </c>
      <c r="C547" s="3" t="s">
        <v>11</v>
      </c>
      <c r="D547" s="3" t="s">
        <v>18</v>
      </c>
      <c r="E547" s="3" t="s">
        <v>23</v>
      </c>
      <c r="F547" s="3" t="s">
        <v>87</v>
      </c>
      <c r="G547" s="5">
        <v>48.78</v>
      </c>
      <c r="H547" s="3" t="s">
        <v>25</v>
      </c>
      <c r="I547" s="3" t="s">
        <v>26</v>
      </c>
      <c r="J547" s="5">
        <v>63500.68</v>
      </c>
    </row>
    <row r="548" spans="1:10" x14ac:dyDescent="0.3">
      <c r="A548" s="3" t="s">
        <v>622</v>
      </c>
      <c r="B548" s="4">
        <v>45686</v>
      </c>
      <c r="C548" s="3" t="s">
        <v>36</v>
      </c>
      <c r="D548" s="3" t="s">
        <v>18</v>
      </c>
      <c r="E548" s="3" t="s">
        <v>23</v>
      </c>
      <c r="F548" s="3" t="s">
        <v>124</v>
      </c>
      <c r="G548" s="5">
        <v>33.97</v>
      </c>
      <c r="H548" s="3" t="s">
        <v>25</v>
      </c>
      <c r="I548" s="3" t="s">
        <v>26</v>
      </c>
      <c r="J548" s="5">
        <v>63466.71</v>
      </c>
    </row>
    <row r="549" spans="1:10" x14ac:dyDescent="0.3">
      <c r="A549" s="3" t="s">
        <v>623</v>
      </c>
      <c r="B549" s="4">
        <v>45687</v>
      </c>
      <c r="C549" s="3" t="s">
        <v>11</v>
      </c>
      <c r="D549" s="3" t="s">
        <v>18</v>
      </c>
      <c r="E549" s="3" t="s">
        <v>47</v>
      </c>
      <c r="F549" s="3" t="s">
        <v>48</v>
      </c>
      <c r="G549" s="5">
        <v>57.01</v>
      </c>
      <c r="H549" s="3" t="s">
        <v>34</v>
      </c>
      <c r="I549" s="3" t="s">
        <v>26</v>
      </c>
      <c r="J549" s="5">
        <v>63409.7</v>
      </c>
    </row>
    <row r="550" spans="1:10" x14ac:dyDescent="0.3">
      <c r="A550" s="3" t="s">
        <v>624</v>
      </c>
      <c r="B550" s="4">
        <v>45687</v>
      </c>
      <c r="C550" s="3" t="s">
        <v>36</v>
      </c>
      <c r="D550" s="3" t="s">
        <v>18</v>
      </c>
      <c r="E550" s="3" t="s">
        <v>39</v>
      </c>
      <c r="F550" s="3" t="s">
        <v>170</v>
      </c>
      <c r="G550" s="5">
        <v>70.25</v>
      </c>
      <c r="H550" s="3" t="s">
        <v>30</v>
      </c>
      <c r="I550" s="3" t="s">
        <v>26</v>
      </c>
      <c r="J550" s="5">
        <v>63339.45</v>
      </c>
    </row>
    <row r="551" spans="1:10" x14ac:dyDescent="0.3">
      <c r="A551" s="3" t="s">
        <v>625</v>
      </c>
      <c r="B551" s="4">
        <v>45688</v>
      </c>
      <c r="C551" s="3" t="s">
        <v>36</v>
      </c>
      <c r="D551" s="3" t="s">
        <v>18</v>
      </c>
      <c r="E551" s="3" t="s">
        <v>23</v>
      </c>
      <c r="F551" s="3" t="s">
        <v>32</v>
      </c>
      <c r="G551" s="5">
        <v>18.61</v>
      </c>
      <c r="H551" s="3" t="s">
        <v>30</v>
      </c>
      <c r="I551" s="3" t="s">
        <v>26</v>
      </c>
      <c r="J551" s="5">
        <v>63320.84</v>
      </c>
    </row>
    <row r="552" spans="1:10" x14ac:dyDescent="0.3">
      <c r="A552" s="3" t="s">
        <v>626</v>
      </c>
      <c r="B552" s="4">
        <v>45689</v>
      </c>
      <c r="C552" s="3" t="s">
        <v>11</v>
      </c>
      <c r="D552" s="3" t="s">
        <v>12</v>
      </c>
      <c r="E552" s="3" t="s">
        <v>13</v>
      </c>
      <c r="F552" s="3" t="s">
        <v>14</v>
      </c>
      <c r="G552" s="5">
        <v>4297.97</v>
      </c>
      <c r="H552" s="3" t="s">
        <v>15</v>
      </c>
      <c r="I552" s="3" t="s">
        <v>16</v>
      </c>
      <c r="J552" s="5">
        <v>67618.81</v>
      </c>
    </row>
    <row r="553" spans="1:10" x14ac:dyDescent="0.3">
      <c r="A553" s="3" t="s">
        <v>627</v>
      </c>
      <c r="B553" s="4">
        <v>45689</v>
      </c>
      <c r="C553" s="3" t="s">
        <v>11</v>
      </c>
      <c r="D553" s="3" t="s">
        <v>18</v>
      </c>
      <c r="E553" s="3" t="s">
        <v>19</v>
      </c>
      <c r="F553" s="3" t="s">
        <v>96</v>
      </c>
      <c r="G553" s="5">
        <v>1853.06</v>
      </c>
      <c r="H553" s="3" t="s">
        <v>21</v>
      </c>
      <c r="I553" s="3" t="s">
        <v>16</v>
      </c>
      <c r="J553" s="5">
        <v>65765.75</v>
      </c>
    </row>
    <row r="554" spans="1:10" x14ac:dyDescent="0.3">
      <c r="A554" s="3" t="s">
        <v>628</v>
      </c>
      <c r="B554" s="4">
        <v>45691</v>
      </c>
      <c r="C554" s="3" t="s">
        <v>36</v>
      </c>
      <c r="D554" s="3" t="s">
        <v>18</v>
      </c>
      <c r="E554" s="3" t="s">
        <v>23</v>
      </c>
      <c r="F554" s="3" t="s">
        <v>76</v>
      </c>
      <c r="G554" s="5">
        <v>23.15</v>
      </c>
      <c r="H554" s="3" t="s">
        <v>34</v>
      </c>
      <c r="I554" s="3" t="s">
        <v>26</v>
      </c>
      <c r="J554" s="5">
        <v>65742.600000000006</v>
      </c>
    </row>
    <row r="555" spans="1:10" x14ac:dyDescent="0.3">
      <c r="A555" s="3" t="s">
        <v>629</v>
      </c>
      <c r="B555" s="4">
        <v>45691</v>
      </c>
      <c r="C555" s="3" t="s">
        <v>11</v>
      </c>
      <c r="D555" s="3" t="s">
        <v>18</v>
      </c>
      <c r="E555" s="3" t="s">
        <v>47</v>
      </c>
      <c r="F555" s="3" t="s">
        <v>60</v>
      </c>
      <c r="G555" s="5">
        <v>47.55</v>
      </c>
      <c r="H555" s="3" t="s">
        <v>34</v>
      </c>
      <c r="I555" s="3" t="s">
        <v>26</v>
      </c>
      <c r="J555" s="5">
        <v>65695.05</v>
      </c>
    </row>
    <row r="556" spans="1:10" x14ac:dyDescent="0.3">
      <c r="A556" s="3" t="s">
        <v>630</v>
      </c>
      <c r="B556" s="4">
        <v>45691</v>
      </c>
      <c r="C556" s="3" t="s">
        <v>36</v>
      </c>
      <c r="D556" s="3" t="s">
        <v>18</v>
      </c>
      <c r="E556" s="3" t="s">
        <v>39</v>
      </c>
      <c r="F556" s="3" t="s">
        <v>179</v>
      </c>
      <c r="G556" s="5">
        <v>85.37</v>
      </c>
      <c r="H556" s="3" t="s">
        <v>34</v>
      </c>
      <c r="I556" s="3" t="s">
        <v>26</v>
      </c>
      <c r="J556" s="5">
        <v>65609.679999999993</v>
      </c>
    </row>
    <row r="557" spans="1:10" x14ac:dyDescent="0.3">
      <c r="A557" s="3" t="s">
        <v>631</v>
      </c>
      <c r="B557" s="4">
        <v>45692</v>
      </c>
      <c r="C557" s="3" t="s">
        <v>36</v>
      </c>
      <c r="D557" s="3" t="s">
        <v>18</v>
      </c>
      <c r="E557" s="3" t="s">
        <v>28</v>
      </c>
      <c r="F557" s="3" t="s">
        <v>52</v>
      </c>
      <c r="G557" s="5">
        <v>73.03</v>
      </c>
      <c r="H557" s="3" t="s">
        <v>30</v>
      </c>
      <c r="I557" s="3" t="s">
        <v>26</v>
      </c>
      <c r="J557" s="5">
        <v>65536.649999999994</v>
      </c>
    </row>
    <row r="558" spans="1:10" x14ac:dyDescent="0.3">
      <c r="A558" s="3" t="s">
        <v>632</v>
      </c>
      <c r="B558" s="4">
        <v>45692</v>
      </c>
      <c r="C558" s="3" t="s">
        <v>11</v>
      </c>
      <c r="D558" s="3" t="s">
        <v>18</v>
      </c>
      <c r="E558" s="3" t="s">
        <v>47</v>
      </c>
      <c r="F558" s="3" t="s">
        <v>69</v>
      </c>
      <c r="G558" s="5">
        <v>25.39</v>
      </c>
      <c r="H558" s="3" t="s">
        <v>34</v>
      </c>
      <c r="I558" s="3" t="s">
        <v>26</v>
      </c>
      <c r="J558" s="5">
        <v>65511.26</v>
      </c>
    </row>
    <row r="559" spans="1:10" x14ac:dyDescent="0.3">
      <c r="A559" s="3" t="s">
        <v>633</v>
      </c>
      <c r="B559" s="4">
        <v>45693</v>
      </c>
      <c r="C559" s="3" t="s">
        <v>126</v>
      </c>
      <c r="D559" s="3" t="s">
        <v>12</v>
      </c>
      <c r="E559" s="3" t="s">
        <v>108</v>
      </c>
      <c r="F559" s="3" t="s">
        <v>354</v>
      </c>
      <c r="G559" s="5">
        <v>757.34</v>
      </c>
      <c r="H559" s="3" t="s">
        <v>183</v>
      </c>
      <c r="I559" s="3" t="s">
        <v>26</v>
      </c>
      <c r="J559" s="5">
        <v>66268.600000000006</v>
      </c>
    </row>
    <row r="560" spans="1:10" x14ac:dyDescent="0.3">
      <c r="A560" s="3" t="s">
        <v>634</v>
      </c>
      <c r="B560" s="4">
        <v>45693</v>
      </c>
      <c r="C560" s="3" t="s">
        <v>36</v>
      </c>
      <c r="D560" s="3" t="s">
        <v>18</v>
      </c>
      <c r="E560" s="3" t="s">
        <v>43</v>
      </c>
      <c r="F560" s="3" t="s">
        <v>339</v>
      </c>
      <c r="G560" s="5">
        <v>106.81</v>
      </c>
      <c r="H560" s="3" t="s">
        <v>21</v>
      </c>
      <c r="I560" s="3" t="s">
        <v>16</v>
      </c>
      <c r="J560" s="5">
        <v>66161.789999999994</v>
      </c>
    </row>
    <row r="561" spans="1:10" x14ac:dyDescent="0.3">
      <c r="A561" s="3" t="s">
        <v>635</v>
      </c>
      <c r="B561" s="4">
        <v>45693</v>
      </c>
      <c r="C561" s="3" t="s">
        <v>11</v>
      </c>
      <c r="D561" s="3" t="s">
        <v>18</v>
      </c>
      <c r="E561" s="3" t="s">
        <v>28</v>
      </c>
      <c r="F561" s="3" t="s">
        <v>29</v>
      </c>
      <c r="G561" s="5">
        <v>179</v>
      </c>
      <c r="H561" s="3" t="s">
        <v>30</v>
      </c>
      <c r="I561" s="3" t="s">
        <v>26</v>
      </c>
      <c r="J561" s="5">
        <v>65982.789999999994</v>
      </c>
    </row>
    <row r="562" spans="1:10" x14ac:dyDescent="0.3">
      <c r="A562" s="3" t="s">
        <v>636</v>
      </c>
      <c r="B562" s="4">
        <v>45694</v>
      </c>
      <c r="C562" s="3" t="s">
        <v>36</v>
      </c>
      <c r="D562" s="3" t="s">
        <v>18</v>
      </c>
      <c r="E562" s="3" t="s">
        <v>43</v>
      </c>
      <c r="F562" s="3" t="s">
        <v>44</v>
      </c>
      <c r="G562" s="5">
        <v>142.51</v>
      </c>
      <c r="H562" s="3" t="s">
        <v>21</v>
      </c>
      <c r="I562" s="3" t="s">
        <v>16</v>
      </c>
      <c r="J562" s="5">
        <v>65840.28</v>
      </c>
    </row>
    <row r="563" spans="1:10" x14ac:dyDescent="0.3">
      <c r="A563" s="3" t="s">
        <v>637</v>
      </c>
      <c r="B563" s="4">
        <v>45694</v>
      </c>
      <c r="C563" s="3" t="s">
        <v>11</v>
      </c>
      <c r="D563" s="3" t="s">
        <v>18</v>
      </c>
      <c r="E563" s="3" t="s">
        <v>28</v>
      </c>
      <c r="F563" s="3" t="s">
        <v>29</v>
      </c>
      <c r="G563" s="5">
        <v>144.29</v>
      </c>
      <c r="H563" s="3" t="s">
        <v>30</v>
      </c>
      <c r="I563" s="3" t="s">
        <v>26</v>
      </c>
      <c r="J563" s="5">
        <v>65695.990000000005</v>
      </c>
    </row>
    <row r="564" spans="1:10" x14ac:dyDescent="0.3">
      <c r="A564" s="3" t="s">
        <v>638</v>
      </c>
      <c r="B564" s="4">
        <v>45694</v>
      </c>
      <c r="C564" s="3" t="s">
        <v>11</v>
      </c>
      <c r="D564" s="3" t="s">
        <v>18</v>
      </c>
      <c r="E564" s="3" t="s">
        <v>47</v>
      </c>
      <c r="F564" s="3" t="s">
        <v>56</v>
      </c>
      <c r="G564" s="5">
        <v>32.81</v>
      </c>
      <c r="H564" s="3" t="s">
        <v>30</v>
      </c>
      <c r="I564" s="3" t="s">
        <v>26</v>
      </c>
      <c r="J564" s="5">
        <v>65663.179999999993</v>
      </c>
    </row>
    <row r="565" spans="1:10" x14ac:dyDescent="0.3">
      <c r="A565" s="3" t="s">
        <v>639</v>
      </c>
      <c r="B565" s="4">
        <v>45694</v>
      </c>
      <c r="C565" s="3" t="s">
        <v>11</v>
      </c>
      <c r="D565" s="3" t="s">
        <v>18</v>
      </c>
      <c r="E565" s="3" t="s">
        <v>39</v>
      </c>
      <c r="F565" s="3" t="s">
        <v>64</v>
      </c>
      <c r="G565" s="5">
        <v>59.87</v>
      </c>
      <c r="H565" s="3" t="s">
        <v>34</v>
      </c>
      <c r="I565" s="3" t="s">
        <v>26</v>
      </c>
      <c r="J565" s="5">
        <v>65603.31</v>
      </c>
    </row>
    <row r="566" spans="1:10" x14ac:dyDescent="0.3">
      <c r="A566" s="3" t="s">
        <v>640</v>
      </c>
      <c r="B566" s="4">
        <v>45695</v>
      </c>
      <c r="C566" s="3" t="s">
        <v>36</v>
      </c>
      <c r="D566" s="3" t="s">
        <v>18</v>
      </c>
      <c r="E566" s="3" t="s">
        <v>28</v>
      </c>
      <c r="F566" s="3" t="s">
        <v>52</v>
      </c>
      <c r="G566" s="5">
        <v>25.14</v>
      </c>
      <c r="H566" s="3" t="s">
        <v>34</v>
      </c>
      <c r="I566" s="3" t="s">
        <v>26</v>
      </c>
      <c r="J566" s="5">
        <v>65578.17</v>
      </c>
    </row>
    <row r="567" spans="1:10" x14ac:dyDescent="0.3">
      <c r="A567" s="3" t="s">
        <v>641</v>
      </c>
      <c r="B567" s="4">
        <v>45696</v>
      </c>
      <c r="C567" s="3" t="s">
        <v>36</v>
      </c>
      <c r="D567" s="3" t="s">
        <v>18</v>
      </c>
      <c r="E567" s="3" t="s">
        <v>47</v>
      </c>
      <c r="F567" s="3" t="s">
        <v>69</v>
      </c>
      <c r="G567" s="5">
        <v>45.16</v>
      </c>
      <c r="H567" s="3" t="s">
        <v>34</v>
      </c>
      <c r="I567" s="3" t="s">
        <v>26</v>
      </c>
      <c r="J567" s="5">
        <v>65533.01</v>
      </c>
    </row>
    <row r="568" spans="1:10" x14ac:dyDescent="0.3">
      <c r="A568" s="3" t="s">
        <v>642</v>
      </c>
      <c r="B568" s="4">
        <v>45697</v>
      </c>
      <c r="C568" s="3" t="s">
        <v>36</v>
      </c>
      <c r="D568" s="3" t="s">
        <v>18</v>
      </c>
      <c r="E568" s="3" t="s">
        <v>43</v>
      </c>
      <c r="F568" s="3" t="s">
        <v>44</v>
      </c>
      <c r="G568" s="5">
        <v>184.23</v>
      </c>
      <c r="H568" s="3" t="s">
        <v>21</v>
      </c>
      <c r="I568" s="3" t="s">
        <v>16</v>
      </c>
      <c r="J568" s="5">
        <v>65348.78</v>
      </c>
    </row>
    <row r="569" spans="1:10" x14ac:dyDescent="0.3">
      <c r="A569" s="3" t="s">
        <v>643</v>
      </c>
      <c r="B569" s="4">
        <v>45698</v>
      </c>
      <c r="C569" s="3" t="s">
        <v>11</v>
      </c>
      <c r="D569" s="3" t="s">
        <v>18</v>
      </c>
      <c r="E569" s="3" t="s">
        <v>23</v>
      </c>
      <c r="F569" s="3" t="s">
        <v>76</v>
      </c>
      <c r="G569" s="5">
        <v>73.88</v>
      </c>
      <c r="H569" s="3" t="s">
        <v>25</v>
      </c>
      <c r="I569" s="3" t="s">
        <v>26</v>
      </c>
      <c r="J569" s="5">
        <v>65274.9</v>
      </c>
    </row>
    <row r="570" spans="1:10" x14ac:dyDescent="0.3">
      <c r="A570" s="3" t="s">
        <v>644</v>
      </c>
      <c r="B570" s="4">
        <v>45701</v>
      </c>
      <c r="C570" s="3" t="s">
        <v>36</v>
      </c>
      <c r="D570" s="3" t="s">
        <v>18</v>
      </c>
      <c r="E570" s="3" t="s">
        <v>47</v>
      </c>
      <c r="F570" s="3" t="s">
        <v>60</v>
      </c>
      <c r="G570" s="5">
        <v>35.42</v>
      </c>
      <c r="H570" s="3" t="s">
        <v>34</v>
      </c>
      <c r="I570" s="3" t="s">
        <v>26</v>
      </c>
      <c r="J570" s="5">
        <v>65239.48</v>
      </c>
    </row>
    <row r="571" spans="1:10" x14ac:dyDescent="0.3">
      <c r="A571" s="3" t="s">
        <v>645</v>
      </c>
      <c r="B571" s="4">
        <v>45702</v>
      </c>
      <c r="C571" s="3" t="s">
        <v>36</v>
      </c>
      <c r="D571" s="3" t="s">
        <v>18</v>
      </c>
      <c r="E571" s="3" t="s">
        <v>23</v>
      </c>
      <c r="F571" s="3" t="s">
        <v>54</v>
      </c>
      <c r="G571" s="5">
        <v>52.46</v>
      </c>
      <c r="H571" s="3" t="s">
        <v>30</v>
      </c>
      <c r="I571" s="3" t="s">
        <v>26</v>
      </c>
      <c r="J571" s="5">
        <v>65187.02</v>
      </c>
    </row>
    <row r="572" spans="1:10" x14ac:dyDescent="0.3">
      <c r="A572" s="3" t="s">
        <v>646</v>
      </c>
      <c r="B572" s="4">
        <v>45702</v>
      </c>
      <c r="C572" s="3" t="s">
        <v>36</v>
      </c>
      <c r="D572" s="3" t="s">
        <v>18</v>
      </c>
      <c r="E572" s="3" t="s">
        <v>47</v>
      </c>
      <c r="F572" s="3" t="s">
        <v>106</v>
      </c>
      <c r="G572" s="5">
        <v>47.1</v>
      </c>
      <c r="H572" s="3" t="s">
        <v>25</v>
      </c>
      <c r="I572" s="3" t="s">
        <v>26</v>
      </c>
      <c r="J572" s="5">
        <v>65139.92</v>
      </c>
    </row>
    <row r="573" spans="1:10" x14ac:dyDescent="0.3">
      <c r="A573" s="3" t="s">
        <v>647</v>
      </c>
      <c r="B573" s="4">
        <v>45703</v>
      </c>
      <c r="C573" s="3" t="s">
        <v>11</v>
      </c>
      <c r="D573" s="3" t="s">
        <v>12</v>
      </c>
      <c r="E573" s="3" t="s">
        <v>13</v>
      </c>
      <c r="F573" s="3" t="s">
        <v>239</v>
      </c>
      <c r="G573" s="5">
        <v>4153</v>
      </c>
      <c r="H573" s="3" t="s">
        <v>15</v>
      </c>
      <c r="I573" s="3" t="s">
        <v>16</v>
      </c>
      <c r="J573" s="5">
        <v>69292.92</v>
      </c>
    </row>
    <row r="574" spans="1:10" x14ac:dyDescent="0.3">
      <c r="A574" s="3" t="s">
        <v>648</v>
      </c>
      <c r="B574" s="4">
        <v>45703</v>
      </c>
      <c r="C574" s="3" t="s">
        <v>11</v>
      </c>
      <c r="D574" s="3" t="s">
        <v>18</v>
      </c>
      <c r="E574" s="3" t="s">
        <v>28</v>
      </c>
      <c r="F574" s="3" t="s">
        <v>117</v>
      </c>
      <c r="G574" s="5">
        <v>33.54</v>
      </c>
      <c r="H574" s="3" t="s">
        <v>30</v>
      </c>
      <c r="I574" s="3" t="s">
        <v>26</v>
      </c>
      <c r="J574" s="5">
        <v>69259.38</v>
      </c>
    </row>
    <row r="575" spans="1:10" x14ac:dyDescent="0.3">
      <c r="A575" s="3" t="s">
        <v>649</v>
      </c>
      <c r="B575" s="4">
        <v>45705</v>
      </c>
      <c r="C575" s="3" t="s">
        <v>36</v>
      </c>
      <c r="D575" s="3" t="s">
        <v>18</v>
      </c>
      <c r="E575" s="3" t="s">
        <v>28</v>
      </c>
      <c r="F575" s="3" t="s">
        <v>74</v>
      </c>
      <c r="G575" s="5">
        <v>64.87</v>
      </c>
      <c r="H575" s="3" t="s">
        <v>34</v>
      </c>
      <c r="I575" s="3" t="s">
        <v>26</v>
      </c>
      <c r="J575" s="5">
        <v>69194.509999999995</v>
      </c>
    </row>
    <row r="576" spans="1:10" x14ac:dyDescent="0.3">
      <c r="A576" s="3" t="s">
        <v>650</v>
      </c>
      <c r="B576" s="4">
        <v>45706</v>
      </c>
      <c r="C576" s="3" t="s">
        <v>11</v>
      </c>
      <c r="D576" s="3" t="s">
        <v>18</v>
      </c>
      <c r="E576" s="3" t="s">
        <v>39</v>
      </c>
      <c r="F576" s="3" t="s">
        <v>179</v>
      </c>
      <c r="G576" s="5">
        <v>64.44</v>
      </c>
      <c r="H576" s="3" t="s">
        <v>30</v>
      </c>
      <c r="I576" s="3" t="s">
        <v>26</v>
      </c>
      <c r="J576" s="5">
        <v>69130.070000000007</v>
      </c>
    </row>
    <row r="577" spans="1:10" x14ac:dyDescent="0.3">
      <c r="A577" s="3" t="s">
        <v>651</v>
      </c>
      <c r="B577" s="4">
        <v>45707</v>
      </c>
      <c r="C577" s="3" t="s">
        <v>36</v>
      </c>
      <c r="D577" s="3" t="s">
        <v>18</v>
      </c>
      <c r="E577" s="3" t="s">
        <v>23</v>
      </c>
      <c r="F577" s="3" t="s">
        <v>124</v>
      </c>
      <c r="G577" s="5">
        <v>77.510000000000005</v>
      </c>
      <c r="H577" s="3" t="s">
        <v>34</v>
      </c>
      <c r="I577" s="3" t="s">
        <v>26</v>
      </c>
      <c r="J577" s="5">
        <v>69052.56</v>
      </c>
    </row>
    <row r="578" spans="1:10" x14ac:dyDescent="0.3">
      <c r="A578" s="3" t="s">
        <v>652</v>
      </c>
      <c r="B578" s="4">
        <v>45707</v>
      </c>
      <c r="C578" s="3" t="s">
        <v>11</v>
      </c>
      <c r="D578" s="3" t="s">
        <v>18</v>
      </c>
      <c r="E578" s="3" t="s">
        <v>47</v>
      </c>
      <c r="F578" s="3" t="s">
        <v>69</v>
      </c>
      <c r="G578" s="5">
        <v>42.06</v>
      </c>
      <c r="H578" s="3" t="s">
        <v>30</v>
      </c>
      <c r="I578" s="3" t="s">
        <v>26</v>
      </c>
      <c r="J578" s="5">
        <v>69010.5</v>
      </c>
    </row>
    <row r="579" spans="1:10" x14ac:dyDescent="0.3">
      <c r="A579" s="3" t="s">
        <v>653</v>
      </c>
      <c r="B579" s="4">
        <v>45707</v>
      </c>
      <c r="C579" s="3" t="s">
        <v>36</v>
      </c>
      <c r="D579" s="3" t="s">
        <v>18</v>
      </c>
      <c r="E579" s="3" t="s">
        <v>39</v>
      </c>
      <c r="F579" s="3" t="s">
        <v>179</v>
      </c>
      <c r="G579" s="5">
        <v>35.47</v>
      </c>
      <c r="H579" s="3" t="s">
        <v>34</v>
      </c>
      <c r="I579" s="3" t="s">
        <v>26</v>
      </c>
      <c r="J579" s="5">
        <v>68975.03</v>
      </c>
    </row>
    <row r="580" spans="1:10" x14ac:dyDescent="0.3">
      <c r="A580" s="3" t="s">
        <v>654</v>
      </c>
      <c r="B580" s="4">
        <v>45709</v>
      </c>
      <c r="C580" s="3" t="s">
        <v>36</v>
      </c>
      <c r="D580" s="3" t="s">
        <v>18</v>
      </c>
      <c r="E580" s="3" t="s">
        <v>28</v>
      </c>
      <c r="F580" s="3" t="s">
        <v>58</v>
      </c>
      <c r="G580" s="5">
        <v>89.41</v>
      </c>
      <c r="H580" s="3" t="s">
        <v>30</v>
      </c>
      <c r="I580" s="3" t="s">
        <v>26</v>
      </c>
      <c r="J580" s="5">
        <v>68885.62</v>
      </c>
    </row>
    <row r="581" spans="1:10" x14ac:dyDescent="0.3">
      <c r="A581" s="3" t="s">
        <v>655</v>
      </c>
      <c r="B581" s="4">
        <v>45709</v>
      </c>
      <c r="C581" s="3" t="s">
        <v>36</v>
      </c>
      <c r="D581" s="3" t="s">
        <v>18</v>
      </c>
      <c r="E581" s="3" t="s">
        <v>23</v>
      </c>
      <c r="F581" s="3" t="s">
        <v>76</v>
      </c>
      <c r="G581" s="5">
        <v>15.8</v>
      </c>
      <c r="H581" s="3" t="s">
        <v>25</v>
      </c>
      <c r="I581" s="3" t="s">
        <v>26</v>
      </c>
      <c r="J581" s="5">
        <v>68869.820000000007</v>
      </c>
    </row>
    <row r="582" spans="1:10" x14ac:dyDescent="0.3">
      <c r="A582" s="3" t="s">
        <v>656</v>
      </c>
      <c r="B582" s="4">
        <v>45709</v>
      </c>
      <c r="C582" s="3" t="s">
        <v>11</v>
      </c>
      <c r="D582" s="3" t="s">
        <v>18</v>
      </c>
      <c r="E582" s="3" t="s">
        <v>47</v>
      </c>
      <c r="F582" s="3" t="s">
        <v>60</v>
      </c>
      <c r="G582" s="5">
        <v>8.64</v>
      </c>
      <c r="H582" s="3" t="s">
        <v>34</v>
      </c>
      <c r="I582" s="3" t="s">
        <v>26</v>
      </c>
      <c r="J582" s="5">
        <v>68861.179999999993</v>
      </c>
    </row>
    <row r="583" spans="1:10" x14ac:dyDescent="0.3">
      <c r="A583" s="3" t="s">
        <v>657</v>
      </c>
      <c r="B583" s="4">
        <v>45710</v>
      </c>
      <c r="C583" s="3" t="s">
        <v>36</v>
      </c>
      <c r="D583" s="3" t="s">
        <v>18</v>
      </c>
      <c r="E583" s="3" t="s">
        <v>39</v>
      </c>
      <c r="F583" s="3" t="s">
        <v>89</v>
      </c>
      <c r="G583" s="5">
        <v>52.32</v>
      </c>
      <c r="H583" s="3" t="s">
        <v>30</v>
      </c>
      <c r="I583" s="3" t="s">
        <v>26</v>
      </c>
      <c r="J583" s="5">
        <v>68808.86</v>
      </c>
    </row>
    <row r="584" spans="1:10" x14ac:dyDescent="0.3">
      <c r="A584" s="3" t="s">
        <v>658</v>
      </c>
      <c r="B584" s="4">
        <v>45711</v>
      </c>
      <c r="C584" s="3" t="s">
        <v>11</v>
      </c>
      <c r="D584" s="3" t="s">
        <v>18</v>
      </c>
      <c r="E584" s="3" t="s">
        <v>47</v>
      </c>
      <c r="F584" s="3" t="s">
        <v>91</v>
      </c>
      <c r="G584" s="5">
        <v>23.61</v>
      </c>
      <c r="H584" s="3" t="s">
        <v>34</v>
      </c>
      <c r="I584" s="3" t="s">
        <v>26</v>
      </c>
      <c r="J584" s="5">
        <v>68785.25</v>
      </c>
    </row>
    <row r="585" spans="1:10" x14ac:dyDescent="0.3">
      <c r="A585" s="3" t="s">
        <v>659</v>
      </c>
      <c r="B585" s="4">
        <v>45712</v>
      </c>
      <c r="C585" s="3" t="s">
        <v>11</v>
      </c>
      <c r="D585" s="3" t="s">
        <v>18</v>
      </c>
      <c r="E585" s="3" t="s">
        <v>23</v>
      </c>
      <c r="F585" s="3" t="s">
        <v>87</v>
      </c>
      <c r="G585" s="5">
        <v>52.03</v>
      </c>
      <c r="H585" s="3" t="s">
        <v>25</v>
      </c>
      <c r="I585" s="3" t="s">
        <v>26</v>
      </c>
      <c r="J585" s="5">
        <v>68733.22</v>
      </c>
    </row>
    <row r="586" spans="1:10" x14ac:dyDescent="0.3">
      <c r="A586" s="3" t="s">
        <v>660</v>
      </c>
      <c r="B586" s="4">
        <v>45713</v>
      </c>
      <c r="C586" s="3" t="s">
        <v>11</v>
      </c>
      <c r="D586" s="3" t="s">
        <v>18</v>
      </c>
      <c r="E586" s="3" t="s">
        <v>23</v>
      </c>
      <c r="F586" s="3" t="s">
        <v>76</v>
      </c>
      <c r="G586" s="5">
        <v>63.29</v>
      </c>
      <c r="H586" s="3" t="s">
        <v>34</v>
      </c>
      <c r="I586" s="3" t="s">
        <v>26</v>
      </c>
      <c r="J586" s="5">
        <v>68669.929999999993</v>
      </c>
    </row>
    <row r="587" spans="1:10" x14ac:dyDescent="0.3">
      <c r="A587" s="3" t="s">
        <v>661</v>
      </c>
      <c r="B587" s="4">
        <v>45713</v>
      </c>
      <c r="C587" s="3" t="s">
        <v>11</v>
      </c>
      <c r="D587" s="3" t="s">
        <v>18</v>
      </c>
      <c r="E587" s="3" t="s">
        <v>47</v>
      </c>
      <c r="F587" s="3" t="s">
        <v>82</v>
      </c>
      <c r="G587" s="5">
        <v>54.98</v>
      </c>
      <c r="H587" s="3" t="s">
        <v>30</v>
      </c>
      <c r="I587" s="3" t="s">
        <v>26</v>
      </c>
      <c r="J587" s="5">
        <v>68614.95</v>
      </c>
    </row>
    <row r="588" spans="1:10" x14ac:dyDescent="0.3">
      <c r="A588" s="3" t="s">
        <v>662</v>
      </c>
      <c r="B588" s="4">
        <v>45714</v>
      </c>
      <c r="C588" s="3" t="s">
        <v>36</v>
      </c>
      <c r="D588" s="3" t="s">
        <v>18</v>
      </c>
      <c r="E588" s="3" t="s">
        <v>23</v>
      </c>
      <c r="F588" s="3" t="s">
        <v>54</v>
      </c>
      <c r="G588" s="5">
        <v>52.77</v>
      </c>
      <c r="H588" s="3" t="s">
        <v>34</v>
      </c>
      <c r="I588" s="3" t="s">
        <v>26</v>
      </c>
      <c r="J588" s="5">
        <v>68562.179999999993</v>
      </c>
    </row>
    <row r="589" spans="1:10" x14ac:dyDescent="0.3">
      <c r="A589" s="3" t="s">
        <v>663</v>
      </c>
      <c r="B589" s="4">
        <v>45715</v>
      </c>
      <c r="C589" s="3" t="s">
        <v>11</v>
      </c>
      <c r="D589" s="3" t="s">
        <v>18</v>
      </c>
      <c r="E589" s="3" t="s">
        <v>47</v>
      </c>
      <c r="F589" s="3" t="s">
        <v>60</v>
      </c>
      <c r="G589" s="5">
        <v>32.24</v>
      </c>
      <c r="H589" s="3" t="s">
        <v>34</v>
      </c>
      <c r="I589" s="3" t="s">
        <v>26</v>
      </c>
      <c r="J589" s="5">
        <v>68529.94</v>
      </c>
    </row>
    <row r="590" spans="1:10" x14ac:dyDescent="0.3">
      <c r="A590" s="3" t="s">
        <v>664</v>
      </c>
      <c r="B590" s="4">
        <v>45716</v>
      </c>
      <c r="C590" s="3" t="s">
        <v>36</v>
      </c>
      <c r="D590" s="3" t="s">
        <v>18</v>
      </c>
      <c r="E590" s="3" t="s">
        <v>28</v>
      </c>
      <c r="F590" s="3" t="s">
        <v>52</v>
      </c>
      <c r="G590" s="5">
        <v>53.82</v>
      </c>
      <c r="H590" s="3" t="s">
        <v>30</v>
      </c>
      <c r="I590" s="3" t="s">
        <v>26</v>
      </c>
      <c r="J590" s="5">
        <v>68476.12</v>
      </c>
    </row>
    <row r="591" spans="1:10" x14ac:dyDescent="0.3">
      <c r="A591" s="3" t="s">
        <v>665</v>
      </c>
      <c r="B591" s="4">
        <v>45716</v>
      </c>
      <c r="C591" s="3" t="s">
        <v>11</v>
      </c>
      <c r="D591" s="3" t="s">
        <v>18</v>
      </c>
      <c r="E591" s="3" t="s">
        <v>23</v>
      </c>
      <c r="F591" s="3" t="s">
        <v>54</v>
      </c>
      <c r="G591" s="5">
        <v>12.69</v>
      </c>
      <c r="H591" s="3" t="s">
        <v>30</v>
      </c>
      <c r="I591" s="3" t="s">
        <v>26</v>
      </c>
      <c r="J591" s="5">
        <v>68463.429999999993</v>
      </c>
    </row>
    <row r="592" spans="1:10" x14ac:dyDescent="0.3">
      <c r="A592" s="3" t="s">
        <v>666</v>
      </c>
      <c r="B592" s="4">
        <v>45717</v>
      </c>
      <c r="C592" s="3" t="s">
        <v>11</v>
      </c>
      <c r="D592" s="3" t="s">
        <v>12</v>
      </c>
      <c r="E592" s="3" t="s">
        <v>13</v>
      </c>
      <c r="F592" s="3" t="s">
        <v>239</v>
      </c>
      <c r="G592" s="5">
        <v>4793.6899999999996</v>
      </c>
      <c r="H592" s="3" t="s">
        <v>15</v>
      </c>
      <c r="I592" s="3" t="s">
        <v>16</v>
      </c>
      <c r="J592" s="5">
        <v>73257.119999999995</v>
      </c>
    </row>
    <row r="593" spans="1:10" x14ac:dyDescent="0.3">
      <c r="A593" s="3" t="s">
        <v>667</v>
      </c>
      <c r="B593" s="4">
        <v>45717</v>
      </c>
      <c r="C593" s="3" t="s">
        <v>11</v>
      </c>
      <c r="D593" s="3" t="s">
        <v>18</v>
      </c>
      <c r="E593" s="3" t="s">
        <v>19</v>
      </c>
      <c r="F593" s="3" t="s">
        <v>191</v>
      </c>
      <c r="G593" s="5">
        <v>1713.3</v>
      </c>
      <c r="H593" s="3" t="s">
        <v>21</v>
      </c>
      <c r="I593" s="3" t="s">
        <v>16</v>
      </c>
      <c r="J593" s="5">
        <v>71543.820000000007</v>
      </c>
    </row>
    <row r="594" spans="1:10" x14ac:dyDescent="0.3">
      <c r="A594" s="3" t="s">
        <v>668</v>
      </c>
      <c r="B594" s="4">
        <v>45718</v>
      </c>
      <c r="C594" s="3" t="s">
        <v>36</v>
      </c>
      <c r="D594" s="3" t="s">
        <v>18</v>
      </c>
      <c r="E594" s="3" t="s">
        <v>23</v>
      </c>
      <c r="F594" s="3" t="s">
        <v>76</v>
      </c>
      <c r="G594" s="5">
        <v>48.07</v>
      </c>
      <c r="H594" s="3" t="s">
        <v>25</v>
      </c>
      <c r="I594" s="3" t="s">
        <v>26</v>
      </c>
      <c r="J594" s="5">
        <v>71495.75</v>
      </c>
    </row>
    <row r="595" spans="1:10" x14ac:dyDescent="0.3">
      <c r="A595" s="3" t="s">
        <v>669</v>
      </c>
      <c r="B595" s="4">
        <v>45719</v>
      </c>
      <c r="C595" s="3" t="s">
        <v>36</v>
      </c>
      <c r="D595" s="3" t="s">
        <v>18</v>
      </c>
      <c r="E595" s="3" t="s">
        <v>47</v>
      </c>
      <c r="F595" s="3" t="s">
        <v>106</v>
      </c>
      <c r="G595" s="5">
        <v>47.99</v>
      </c>
      <c r="H595" s="3" t="s">
        <v>25</v>
      </c>
      <c r="I595" s="3" t="s">
        <v>26</v>
      </c>
      <c r="J595" s="5">
        <v>71447.759999999995</v>
      </c>
    </row>
    <row r="596" spans="1:10" x14ac:dyDescent="0.3">
      <c r="A596" s="3" t="s">
        <v>670</v>
      </c>
      <c r="B596" s="4">
        <v>45720</v>
      </c>
      <c r="C596" s="3" t="s">
        <v>36</v>
      </c>
      <c r="D596" s="3" t="s">
        <v>18</v>
      </c>
      <c r="E596" s="3" t="s">
        <v>23</v>
      </c>
      <c r="F596" s="3" t="s">
        <v>124</v>
      </c>
      <c r="G596" s="5">
        <v>84.19</v>
      </c>
      <c r="H596" s="3" t="s">
        <v>30</v>
      </c>
      <c r="I596" s="3" t="s">
        <v>26</v>
      </c>
      <c r="J596" s="5">
        <v>71363.570000000007</v>
      </c>
    </row>
    <row r="597" spans="1:10" x14ac:dyDescent="0.3">
      <c r="A597" s="3" t="s">
        <v>671</v>
      </c>
      <c r="B597" s="4">
        <v>45721</v>
      </c>
      <c r="C597" s="3" t="s">
        <v>36</v>
      </c>
      <c r="D597" s="3" t="s">
        <v>18</v>
      </c>
      <c r="E597" s="3" t="s">
        <v>43</v>
      </c>
      <c r="F597" s="3" t="s">
        <v>151</v>
      </c>
      <c r="G597" s="5">
        <v>136.22999999999999</v>
      </c>
      <c r="H597" s="3" t="s">
        <v>21</v>
      </c>
      <c r="I597" s="3" t="s">
        <v>16</v>
      </c>
      <c r="J597" s="5">
        <v>71227.34</v>
      </c>
    </row>
    <row r="598" spans="1:10" x14ac:dyDescent="0.3">
      <c r="A598" s="3" t="s">
        <v>672</v>
      </c>
      <c r="B598" s="4">
        <v>45722</v>
      </c>
      <c r="C598" s="3" t="s">
        <v>36</v>
      </c>
      <c r="D598" s="3" t="s">
        <v>18</v>
      </c>
      <c r="E598" s="3" t="s">
        <v>43</v>
      </c>
      <c r="F598" s="3" t="s">
        <v>44</v>
      </c>
      <c r="G598" s="5">
        <v>144.44999999999999</v>
      </c>
      <c r="H598" s="3" t="s">
        <v>21</v>
      </c>
      <c r="I598" s="3" t="s">
        <v>16</v>
      </c>
      <c r="J598" s="5">
        <v>71082.89</v>
      </c>
    </row>
    <row r="599" spans="1:10" x14ac:dyDescent="0.3">
      <c r="A599" s="3" t="s">
        <v>673</v>
      </c>
      <c r="B599" s="4">
        <v>45722</v>
      </c>
      <c r="C599" s="3" t="s">
        <v>36</v>
      </c>
      <c r="D599" s="3" t="s">
        <v>18</v>
      </c>
      <c r="E599" s="3" t="s">
        <v>23</v>
      </c>
      <c r="F599" s="3" t="s">
        <v>54</v>
      </c>
      <c r="G599" s="5">
        <v>59.67</v>
      </c>
      <c r="H599" s="3" t="s">
        <v>25</v>
      </c>
      <c r="I599" s="3" t="s">
        <v>26</v>
      </c>
      <c r="J599" s="5">
        <v>71023.22</v>
      </c>
    </row>
    <row r="600" spans="1:10" x14ac:dyDescent="0.3">
      <c r="A600" s="3" t="s">
        <v>674</v>
      </c>
      <c r="B600" s="4">
        <v>45722</v>
      </c>
      <c r="C600" s="3" t="s">
        <v>11</v>
      </c>
      <c r="D600" s="3" t="s">
        <v>18</v>
      </c>
      <c r="E600" s="3" t="s">
        <v>47</v>
      </c>
      <c r="F600" s="3" t="s">
        <v>106</v>
      </c>
      <c r="G600" s="5">
        <v>59.77</v>
      </c>
      <c r="H600" s="3" t="s">
        <v>30</v>
      </c>
      <c r="I600" s="3" t="s">
        <v>26</v>
      </c>
      <c r="J600" s="5">
        <v>70963.45</v>
      </c>
    </row>
    <row r="601" spans="1:10" x14ac:dyDescent="0.3">
      <c r="A601" s="3" t="s">
        <v>675</v>
      </c>
      <c r="B601" s="4">
        <v>45723</v>
      </c>
      <c r="C601" s="3" t="s">
        <v>11</v>
      </c>
      <c r="D601" s="3" t="s">
        <v>18</v>
      </c>
      <c r="E601" s="3" t="s">
        <v>43</v>
      </c>
      <c r="F601" s="3" t="s">
        <v>339</v>
      </c>
      <c r="G601" s="5">
        <v>229.24</v>
      </c>
      <c r="H601" s="3" t="s">
        <v>21</v>
      </c>
      <c r="I601" s="3" t="s">
        <v>16</v>
      </c>
      <c r="J601" s="5">
        <v>70734.210000000006</v>
      </c>
    </row>
    <row r="602" spans="1:10" x14ac:dyDescent="0.3">
      <c r="A602" s="3" t="s">
        <v>676</v>
      </c>
      <c r="B602" s="4">
        <v>45723</v>
      </c>
      <c r="C602" s="3" t="s">
        <v>11</v>
      </c>
      <c r="D602" s="3" t="s">
        <v>18</v>
      </c>
      <c r="E602" s="3" t="s">
        <v>47</v>
      </c>
      <c r="F602" s="3" t="s">
        <v>91</v>
      </c>
      <c r="G602" s="5">
        <v>42.12</v>
      </c>
      <c r="H602" s="3" t="s">
        <v>25</v>
      </c>
      <c r="I602" s="3" t="s">
        <v>26</v>
      </c>
      <c r="J602" s="5">
        <v>70692.09</v>
      </c>
    </row>
    <row r="603" spans="1:10" x14ac:dyDescent="0.3">
      <c r="A603" s="3" t="s">
        <v>677</v>
      </c>
      <c r="B603" s="4">
        <v>45724</v>
      </c>
      <c r="C603" s="3" t="s">
        <v>36</v>
      </c>
      <c r="D603" s="3" t="s">
        <v>18</v>
      </c>
      <c r="E603" s="3" t="s">
        <v>47</v>
      </c>
      <c r="F603" s="3" t="s">
        <v>48</v>
      </c>
      <c r="G603" s="5">
        <v>8.52</v>
      </c>
      <c r="H603" s="3" t="s">
        <v>34</v>
      </c>
      <c r="I603" s="3" t="s">
        <v>26</v>
      </c>
      <c r="J603" s="5">
        <v>70683.570000000007</v>
      </c>
    </row>
    <row r="604" spans="1:10" x14ac:dyDescent="0.3">
      <c r="A604" s="3" t="s">
        <v>678</v>
      </c>
      <c r="B604" s="4">
        <v>45724</v>
      </c>
      <c r="C604" s="3" t="s">
        <v>36</v>
      </c>
      <c r="D604" s="3" t="s">
        <v>18</v>
      </c>
      <c r="E604" s="3" t="s">
        <v>39</v>
      </c>
      <c r="F604" s="3" t="s">
        <v>186</v>
      </c>
      <c r="G604" s="5">
        <v>36.159999999999997</v>
      </c>
      <c r="H604" s="3" t="s">
        <v>34</v>
      </c>
      <c r="I604" s="3" t="s">
        <v>26</v>
      </c>
      <c r="J604" s="5">
        <v>70647.41</v>
      </c>
    </row>
    <row r="605" spans="1:10" x14ac:dyDescent="0.3">
      <c r="A605" s="3" t="s">
        <v>679</v>
      </c>
      <c r="B605" s="4">
        <v>45725</v>
      </c>
      <c r="C605" s="3" t="s">
        <v>11</v>
      </c>
      <c r="D605" s="3" t="s">
        <v>18</v>
      </c>
      <c r="E605" s="3" t="s">
        <v>47</v>
      </c>
      <c r="F605" s="3" t="s">
        <v>106</v>
      </c>
      <c r="G605" s="5">
        <v>21.42</v>
      </c>
      <c r="H605" s="3" t="s">
        <v>25</v>
      </c>
      <c r="I605" s="3" t="s">
        <v>26</v>
      </c>
      <c r="J605" s="5">
        <v>70625.990000000005</v>
      </c>
    </row>
    <row r="606" spans="1:10" x14ac:dyDescent="0.3">
      <c r="A606" s="3" t="s">
        <v>680</v>
      </c>
      <c r="B606" s="4">
        <v>45725</v>
      </c>
      <c r="C606" s="3" t="s">
        <v>11</v>
      </c>
      <c r="D606" s="3" t="s">
        <v>18</v>
      </c>
      <c r="E606" s="3" t="s">
        <v>39</v>
      </c>
      <c r="F606" s="3" t="s">
        <v>40</v>
      </c>
      <c r="G606" s="5">
        <v>70.31</v>
      </c>
      <c r="H606" s="3" t="s">
        <v>34</v>
      </c>
      <c r="I606" s="3" t="s">
        <v>26</v>
      </c>
      <c r="J606" s="5">
        <v>70555.679999999993</v>
      </c>
    </row>
    <row r="607" spans="1:10" x14ac:dyDescent="0.3">
      <c r="A607" s="3" t="s">
        <v>681</v>
      </c>
      <c r="B607" s="4">
        <v>45726</v>
      </c>
      <c r="C607" s="3" t="s">
        <v>36</v>
      </c>
      <c r="D607" s="3" t="s">
        <v>18</v>
      </c>
      <c r="E607" s="3" t="s">
        <v>28</v>
      </c>
      <c r="F607" s="3" t="s">
        <v>29</v>
      </c>
      <c r="G607" s="5">
        <v>108.02</v>
      </c>
      <c r="H607" s="3" t="s">
        <v>30</v>
      </c>
      <c r="I607" s="3" t="s">
        <v>26</v>
      </c>
      <c r="J607" s="5">
        <v>70447.66</v>
      </c>
    </row>
    <row r="608" spans="1:10" x14ac:dyDescent="0.3">
      <c r="A608" s="3" t="s">
        <v>682</v>
      </c>
      <c r="B608" s="4">
        <v>45727</v>
      </c>
      <c r="C608" s="3" t="s">
        <v>36</v>
      </c>
      <c r="D608" s="3" t="s">
        <v>18</v>
      </c>
      <c r="E608" s="3" t="s">
        <v>23</v>
      </c>
      <c r="F608" s="3" t="s">
        <v>76</v>
      </c>
      <c r="G608" s="5">
        <v>82.89</v>
      </c>
      <c r="H608" s="3" t="s">
        <v>34</v>
      </c>
      <c r="I608" s="3" t="s">
        <v>26</v>
      </c>
      <c r="J608" s="5">
        <v>70364.77</v>
      </c>
    </row>
    <row r="609" spans="1:10" x14ac:dyDescent="0.3">
      <c r="A609" s="3" t="s">
        <v>683</v>
      </c>
      <c r="B609" s="4">
        <v>45729</v>
      </c>
      <c r="C609" s="3" t="s">
        <v>36</v>
      </c>
      <c r="D609" s="3" t="s">
        <v>18</v>
      </c>
      <c r="E609" s="3" t="s">
        <v>28</v>
      </c>
      <c r="F609" s="3" t="s">
        <v>117</v>
      </c>
      <c r="G609" s="5">
        <v>95.11</v>
      </c>
      <c r="H609" s="3" t="s">
        <v>34</v>
      </c>
      <c r="I609" s="3" t="s">
        <v>26</v>
      </c>
      <c r="J609" s="5">
        <v>70269.66</v>
      </c>
    </row>
    <row r="610" spans="1:10" x14ac:dyDescent="0.3">
      <c r="A610" s="3" t="s">
        <v>684</v>
      </c>
      <c r="B610" s="4">
        <v>45729</v>
      </c>
      <c r="C610" s="3" t="s">
        <v>36</v>
      </c>
      <c r="D610" s="3" t="s">
        <v>18</v>
      </c>
      <c r="E610" s="3" t="s">
        <v>47</v>
      </c>
      <c r="F610" s="3" t="s">
        <v>69</v>
      </c>
      <c r="G610" s="5">
        <v>20.47</v>
      </c>
      <c r="H610" s="3" t="s">
        <v>30</v>
      </c>
      <c r="I610" s="3" t="s">
        <v>26</v>
      </c>
      <c r="J610" s="5">
        <v>70249.19</v>
      </c>
    </row>
    <row r="611" spans="1:10" x14ac:dyDescent="0.3">
      <c r="A611" s="3" t="s">
        <v>685</v>
      </c>
      <c r="B611" s="4">
        <v>45731</v>
      </c>
      <c r="C611" s="3" t="s">
        <v>11</v>
      </c>
      <c r="D611" s="3" t="s">
        <v>18</v>
      </c>
      <c r="E611" s="3" t="s">
        <v>28</v>
      </c>
      <c r="F611" s="3" t="s">
        <v>58</v>
      </c>
      <c r="G611" s="5">
        <v>59.22</v>
      </c>
      <c r="H611" s="3" t="s">
        <v>34</v>
      </c>
      <c r="I611" s="3" t="s">
        <v>26</v>
      </c>
      <c r="J611" s="5">
        <v>70189.97</v>
      </c>
    </row>
    <row r="612" spans="1:10" x14ac:dyDescent="0.3">
      <c r="A612" s="3" t="s">
        <v>686</v>
      </c>
      <c r="B612" s="4">
        <v>45732</v>
      </c>
      <c r="C612" s="3" t="s">
        <v>11</v>
      </c>
      <c r="D612" s="3" t="s">
        <v>18</v>
      </c>
      <c r="E612" s="3" t="s">
        <v>47</v>
      </c>
      <c r="F612" s="3" t="s">
        <v>91</v>
      </c>
      <c r="G612" s="5">
        <v>10.83</v>
      </c>
      <c r="H612" s="3" t="s">
        <v>34</v>
      </c>
      <c r="I612" s="3" t="s">
        <v>26</v>
      </c>
      <c r="J612" s="5">
        <v>70179.14</v>
      </c>
    </row>
    <row r="613" spans="1:10" x14ac:dyDescent="0.3">
      <c r="A613" s="3" t="s">
        <v>687</v>
      </c>
      <c r="B613" s="4">
        <v>45733</v>
      </c>
      <c r="C613" s="3" t="s">
        <v>11</v>
      </c>
      <c r="D613" s="3" t="s">
        <v>18</v>
      </c>
      <c r="E613" s="3" t="s">
        <v>28</v>
      </c>
      <c r="F613" s="3" t="s">
        <v>52</v>
      </c>
      <c r="G613" s="5">
        <v>112.75</v>
      </c>
      <c r="H613" s="3" t="s">
        <v>30</v>
      </c>
      <c r="I613" s="3" t="s">
        <v>26</v>
      </c>
      <c r="J613" s="5">
        <v>70066.39</v>
      </c>
    </row>
    <row r="614" spans="1:10" x14ac:dyDescent="0.3">
      <c r="A614" s="3" t="s">
        <v>688</v>
      </c>
      <c r="B614" s="4">
        <v>45733</v>
      </c>
      <c r="C614" s="3" t="s">
        <v>36</v>
      </c>
      <c r="D614" s="3" t="s">
        <v>18</v>
      </c>
      <c r="E614" s="3" t="s">
        <v>23</v>
      </c>
      <c r="F614" s="3" t="s">
        <v>135</v>
      </c>
      <c r="G614" s="5">
        <v>84.34</v>
      </c>
      <c r="H614" s="3" t="s">
        <v>25</v>
      </c>
      <c r="I614" s="3" t="s">
        <v>26</v>
      </c>
      <c r="J614" s="5">
        <v>69982.05</v>
      </c>
    </row>
    <row r="615" spans="1:10" x14ac:dyDescent="0.3">
      <c r="A615" s="3" t="s">
        <v>689</v>
      </c>
      <c r="B615" s="4">
        <v>45733</v>
      </c>
      <c r="C615" s="3" t="s">
        <v>36</v>
      </c>
      <c r="D615" s="3" t="s">
        <v>18</v>
      </c>
      <c r="E615" s="3" t="s">
        <v>47</v>
      </c>
      <c r="F615" s="3" t="s">
        <v>48</v>
      </c>
      <c r="G615" s="5">
        <v>35.44</v>
      </c>
      <c r="H615" s="3" t="s">
        <v>25</v>
      </c>
      <c r="I615" s="3" t="s">
        <v>26</v>
      </c>
      <c r="J615" s="5">
        <v>69946.61</v>
      </c>
    </row>
    <row r="616" spans="1:10" x14ac:dyDescent="0.3">
      <c r="A616" s="3" t="s">
        <v>690</v>
      </c>
      <c r="B616" s="4">
        <v>45735</v>
      </c>
      <c r="C616" s="3" t="s">
        <v>11</v>
      </c>
      <c r="D616" s="3" t="s">
        <v>18</v>
      </c>
      <c r="E616" s="3" t="s">
        <v>47</v>
      </c>
      <c r="F616" s="3" t="s">
        <v>69</v>
      </c>
      <c r="G616" s="5">
        <v>30.23</v>
      </c>
      <c r="H616" s="3" t="s">
        <v>25</v>
      </c>
      <c r="I616" s="3" t="s">
        <v>26</v>
      </c>
      <c r="J616" s="5">
        <v>69916.38</v>
      </c>
    </row>
    <row r="617" spans="1:10" x14ac:dyDescent="0.3">
      <c r="A617" s="3" t="s">
        <v>691</v>
      </c>
      <c r="B617" s="4">
        <v>45736</v>
      </c>
      <c r="C617" s="3" t="s">
        <v>11</v>
      </c>
      <c r="D617" s="3" t="s">
        <v>18</v>
      </c>
      <c r="E617" s="3" t="s">
        <v>23</v>
      </c>
      <c r="F617" s="3" t="s">
        <v>135</v>
      </c>
      <c r="G617" s="5">
        <v>65.78</v>
      </c>
      <c r="H617" s="3" t="s">
        <v>25</v>
      </c>
      <c r="I617" s="3" t="s">
        <v>26</v>
      </c>
      <c r="J617" s="5">
        <v>69850.600000000006</v>
      </c>
    </row>
    <row r="618" spans="1:10" x14ac:dyDescent="0.3">
      <c r="A618" s="3" t="s">
        <v>692</v>
      </c>
      <c r="B618" s="4">
        <v>45736</v>
      </c>
      <c r="C618" s="3" t="s">
        <v>11</v>
      </c>
      <c r="D618" s="3" t="s">
        <v>18</v>
      </c>
      <c r="E618" s="3" t="s">
        <v>47</v>
      </c>
      <c r="F618" s="3" t="s">
        <v>69</v>
      </c>
      <c r="G618" s="5">
        <v>49.28</v>
      </c>
      <c r="H618" s="3" t="s">
        <v>25</v>
      </c>
      <c r="I618" s="3" t="s">
        <v>26</v>
      </c>
      <c r="J618" s="5">
        <v>69801.320000000007</v>
      </c>
    </row>
    <row r="619" spans="1:10" x14ac:dyDescent="0.3">
      <c r="A619" s="3" t="s">
        <v>693</v>
      </c>
      <c r="B619" s="4">
        <v>45737</v>
      </c>
      <c r="C619" s="3" t="s">
        <v>36</v>
      </c>
      <c r="D619" s="3" t="s">
        <v>18</v>
      </c>
      <c r="E619" s="3" t="s">
        <v>47</v>
      </c>
      <c r="F619" s="3" t="s">
        <v>69</v>
      </c>
      <c r="G619" s="5">
        <v>5.0599999999999996</v>
      </c>
      <c r="H619" s="3" t="s">
        <v>25</v>
      </c>
      <c r="I619" s="3" t="s">
        <v>26</v>
      </c>
      <c r="J619" s="5">
        <v>69796.259999999995</v>
      </c>
    </row>
    <row r="620" spans="1:10" x14ac:dyDescent="0.3">
      <c r="A620" s="3" t="s">
        <v>694</v>
      </c>
      <c r="B620" s="4">
        <v>45739</v>
      </c>
      <c r="C620" s="3" t="s">
        <v>36</v>
      </c>
      <c r="D620" s="3" t="s">
        <v>18</v>
      </c>
      <c r="E620" s="3" t="s">
        <v>47</v>
      </c>
      <c r="F620" s="3" t="s">
        <v>106</v>
      </c>
      <c r="G620" s="5">
        <v>45.34</v>
      </c>
      <c r="H620" s="3" t="s">
        <v>30</v>
      </c>
      <c r="I620" s="3" t="s">
        <v>26</v>
      </c>
      <c r="J620" s="5">
        <v>69750.92</v>
      </c>
    </row>
    <row r="621" spans="1:10" x14ac:dyDescent="0.3">
      <c r="A621" s="3" t="s">
        <v>695</v>
      </c>
      <c r="B621" s="4">
        <v>45740</v>
      </c>
      <c r="C621" s="3" t="s">
        <v>36</v>
      </c>
      <c r="D621" s="3" t="s">
        <v>18</v>
      </c>
      <c r="E621" s="3" t="s">
        <v>28</v>
      </c>
      <c r="F621" s="3" t="s">
        <v>58</v>
      </c>
      <c r="G621" s="5">
        <v>76.760000000000005</v>
      </c>
      <c r="H621" s="3" t="s">
        <v>34</v>
      </c>
      <c r="I621" s="3" t="s">
        <v>26</v>
      </c>
      <c r="J621" s="5">
        <v>69674.16</v>
      </c>
    </row>
    <row r="622" spans="1:10" x14ac:dyDescent="0.3">
      <c r="A622" s="3" t="s">
        <v>696</v>
      </c>
      <c r="B622" s="4">
        <v>45740</v>
      </c>
      <c r="C622" s="3" t="s">
        <v>36</v>
      </c>
      <c r="D622" s="3" t="s">
        <v>18</v>
      </c>
      <c r="E622" s="3" t="s">
        <v>23</v>
      </c>
      <c r="F622" s="3" t="s">
        <v>76</v>
      </c>
      <c r="G622" s="5">
        <v>59.65</v>
      </c>
      <c r="H622" s="3" t="s">
        <v>30</v>
      </c>
      <c r="I622" s="3" t="s">
        <v>26</v>
      </c>
      <c r="J622" s="5">
        <v>69614.509999999995</v>
      </c>
    </row>
    <row r="623" spans="1:10" x14ac:dyDescent="0.3">
      <c r="A623" s="3" t="s">
        <v>697</v>
      </c>
      <c r="B623" s="4">
        <v>45740</v>
      </c>
      <c r="C623" s="3" t="s">
        <v>11</v>
      </c>
      <c r="D623" s="3" t="s">
        <v>18</v>
      </c>
      <c r="E623" s="3" t="s">
        <v>47</v>
      </c>
      <c r="F623" s="3" t="s">
        <v>56</v>
      </c>
      <c r="G623" s="5">
        <v>25.55</v>
      </c>
      <c r="H623" s="3" t="s">
        <v>30</v>
      </c>
      <c r="I623" s="3" t="s">
        <v>26</v>
      </c>
      <c r="J623" s="5">
        <v>69588.960000000006</v>
      </c>
    </row>
    <row r="624" spans="1:10" x14ac:dyDescent="0.3">
      <c r="A624" s="3" t="s">
        <v>698</v>
      </c>
      <c r="B624" s="4">
        <v>45741</v>
      </c>
      <c r="C624" s="3" t="s">
        <v>36</v>
      </c>
      <c r="D624" s="3" t="s">
        <v>18</v>
      </c>
      <c r="E624" s="3" t="s">
        <v>47</v>
      </c>
      <c r="F624" s="3" t="s">
        <v>82</v>
      </c>
      <c r="G624" s="5">
        <v>12.19</v>
      </c>
      <c r="H624" s="3" t="s">
        <v>25</v>
      </c>
      <c r="I624" s="3" t="s">
        <v>26</v>
      </c>
      <c r="J624" s="5">
        <v>69576.77</v>
      </c>
    </row>
    <row r="625" spans="1:10" x14ac:dyDescent="0.3">
      <c r="A625" s="3" t="s">
        <v>699</v>
      </c>
      <c r="B625" s="4">
        <v>45743</v>
      </c>
      <c r="C625" s="3" t="s">
        <v>11</v>
      </c>
      <c r="D625" s="3" t="s">
        <v>18</v>
      </c>
      <c r="E625" s="3" t="s">
        <v>28</v>
      </c>
      <c r="F625" s="3" t="s">
        <v>58</v>
      </c>
      <c r="G625" s="5">
        <v>146.68</v>
      </c>
      <c r="H625" s="3" t="s">
        <v>30</v>
      </c>
      <c r="I625" s="3" t="s">
        <v>26</v>
      </c>
      <c r="J625" s="5">
        <v>69430.09</v>
      </c>
    </row>
    <row r="626" spans="1:10" x14ac:dyDescent="0.3">
      <c r="A626" s="3" t="s">
        <v>700</v>
      </c>
      <c r="B626" s="4">
        <v>45743</v>
      </c>
      <c r="C626" s="3" t="s">
        <v>36</v>
      </c>
      <c r="D626" s="3" t="s">
        <v>18</v>
      </c>
      <c r="E626" s="3" t="s">
        <v>23</v>
      </c>
      <c r="F626" s="3" t="s">
        <v>37</v>
      </c>
      <c r="G626" s="5">
        <v>14.23</v>
      </c>
      <c r="H626" s="3" t="s">
        <v>25</v>
      </c>
      <c r="I626" s="3" t="s">
        <v>26</v>
      </c>
      <c r="J626" s="5">
        <v>69415.86</v>
      </c>
    </row>
    <row r="627" spans="1:10" x14ac:dyDescent="0.3">
      <c r="A627" s="3" t="s">
        <v>701</v>
      </c>
      <c r="B627" s="4">
        <v>45743</v>
      </c>
      <c r="C627" s="3" t="s">
        <v>36</v>
      </c>
      <c r="D627" s="3" t="s">
        <v>18</v>
      </c>
      <c r="E627" s="3" t="s">
        <v>39</v>
      </c>
      <c r="F627" s="3" t="s">
        <v>64</v>
      </c>
      <c r="G627" s="5">
        <v>63.18</v>
      </c>
      <c r="H627" s="3" t="s">
        <v>30</v>
      </c>
      <c r="I627" s="3" t="s">
        <v>26</v>
      </c>
      <c r="J627" s="5">
        <v>69352.679999999993</v>
      </c>
    </row>
    <row r="628" spans="1:10" x14ac:dyDescent="0.3">
      <c r="A628" s="3" t="s">
        <v>702</v>
      </c>
      <c r="B628" s="4">
        <v>45744</v>
      </c>
      <c r="C628" s="3" t="s">
        <v>36</v>
      </c>
      <c r="D628" s="3" t="s">
        <v>18</v>
      </c>
      <c r="E628" s="3" t="s">
        <v>47</v>
      </c>
      <c r="F628" s="3" t="s">
        <v>56</v>
      </c>
      <c r="G628" s="5">
        <v>43.43</v>
      </c>
      <c r="H628" s="3" t="s">
        <v>34</v>
      </c>
      <c r="I628" s="3" t="s">
        <v>26</v>
      </c>
      <c r="J628" s="5">
        <v>69309.25</v>
      </c>
    </row>
    <row r="629" spans="1:10" x14ac:dyDescent="0.3">
      <c r="A629" s="3" t="s">
        <v>703</v>
      </c>
      <c r="B629" s="4">
        <v>45747</v>
      </c>
      <c r="C629" s="3" t="s">
        <v>11</v>
      </c>
      <c r="D629" s="3" t="s">
        <v>18</v>
      </c>
      <c r="E629" s="3" t="s">
        <v>47</v>
      </c>
      <c r="F629" s="3" t="s">
        <v>91</v>
      </c>
      <c r="G629" s="5">
        <v>18.079999999999998</v>
      </c>
      <c r="H629" s="3" t="s">
        <v>30</v>
      </c>
      <c r="I629" s="3" t="s">
        <v>26</v>
      </c>
      <c r="J629" s="5">
        <v>69291.17</v>
      </c>
    </row>
    <row r="630" spans="1:10" x14ac:dyDescent="0.3">
      <c r="A630" s="3" t="s">
        <v>704</v>
      </c>
      <c r="B630" s="4">
        <v>45748</v>
      </c>
      <c r="C630" s="3" t="s">
        <v>11</v>
      </c>
      <c r="D630" s="3" t="s">
        <v>12</v>
      </c>
      <c r="E630" s="3" t="s">
        <v>13</v>
      </c>
      <c r="F630" s="3" t="s">
        <v>239</v>
      </c>
      <c r="G630" s="5">
        <v>4744.87</v>
      </c>
      <c r="H630" s="3" t="s">
        <v>15</v>
      </c>
      <c r="I630" s="3" t="s">
        <v>16</v>
      </c>
      <c r="J630" s="5">
        <v>74036.039999999994</v>
      </c>
    </row>
    <row r="631" spans="1:10" x14ac:dyDescent="0.3">
      <c r="A631" s="3" t="s">
        <v>705</v>
      </c>
      <c r="B631" s="4">
        <v>45748</v>
      </c>
      <c r="C631" s="3" t="s">
        <v>11</v>
      </c>
      <c r="D631" s="3" t="s">
        <v>18</v>
      </c>
      <c r="E631" s="3" t="s">
        <v>19</v>
      </c>
      <c r="F631" s="3" t="s">
        <v>96</v>
      </c>
      <c r="G631" s="5">
        <v>1546.51</v>
      </c>
      <c r="H631" s="3" t="s">
        <v>21</v>
      </c>
      <c r="I631" s="3" t="s">
        <v>16</v>
      </c>
      <c r="J631" s="5">
        <v>72489.53</v>
      </c>
    </row>
    <row r="632" spans="1:10" x14ac:dyDescent="0.3">
      <c r="A632" s="3" t="s">
        <v>706</v>
      </c>
      <c r="B632" s="4">
        <v>45748</v>
      </c>
      <c r="C632" s="3" t="s">
        <v>11</v>
      </c>
      <c r="D632" s="3" t="s">
        <v>18</v>
      </c>
      <c r="E632" s="3" t="s">
        <v>28</v>
      </c>
      <c r="F632" s="3" t="s">
        <v>79</v>
      </c>
      <c r="G632" s="5">
        <v>142.59</v>
      </c>
      <c r="H632" s="3" t="s">
        <v>30</v>
      </c>
      <c r="I632" s="3" t="s">
        <v>26</v>
      </c>
      <c r="J632" s="5">
        <v>72346.94</v>
      </c>
    </row>
    <row r="633" spans="1:10" x14ac:dyDescent="0.3">
      <c r="A633" s="3" t="s">
        <v>707</v>
      </c>
      <c r="B633" s="4">
        <v>45748</v>
      </c>
      <c r="C633" s="3" t="s">
        <v>11</v>
      </c>
      <c r="D633" s="3" t="s">
        <v>18</v>
      </c>
      <c r="E633" s="3" t="s">
        <v>39</v>
      </c>
      <c r="F633" s="3" t="s">
        <v>64</v>
      </c>
      <c r="G633" s="5">
        <v>49.8</v>
      </c>
      <c r="H633" s="3" t="s">
        <v>30</v>
      </c>
      <c r="I633" s="3" t="s">
        <v>26</v>
      </c>
      <c r="J633" s="5">
        <v>72297.14</v>
      </c>
    </row>
    <row r="634" spans="1:10" x14ac:dyDescent="0.3">
      <c r="A634" s="3" t="s">
        <v>708</v>
      </c>
      <c r="B634" s="4">
        <v>45750</v>
      </c>
      <c r="C634" s="3" t="s">
        <v>11</v>
      </c>
      <c r="D634" s="3" t="s">
        <v>18</v>
      </c>
      <c r="E634" s="3" t="s">
        <v>47</v>
      </c>
      <c r="F634" s="3" t="s">
        <v>91</v>
      </c>
      <c r="G634" s="5">
        <v>45.83</v>
      </c>
      <c r="H634" s="3" t="s">
        <v>34</v>
      </c>
      <c r="I634" s="3" t="s">
        <v>26</v>
      </c>
      <c r="J634" s="5">
        <v>72251.31</v>
      </c>
    </row>
    <row r="635" spans="1:10" x14ac:dyDescent="0.3">
      <c r="A635" s="3" t="s">
        <v>709</v>
      </c>
      <c r="B635" s="4">
        <v>45751</v>
      </c>
      <c r="C635" s="3" t="s">
        <v>11</v>
      </c>
      <c r="D635" s="3" t="s">
        <v>18</v>
      </c>
      <c r="E635" s="3" t="s">
        <v>23</v>
      </c>
      <c r="F635" s="3" t="s">
        <v>124</v>
      </c>
      <c r="G635" s="5">
        <v>15.1</v>
      </c>
      <c r="H635" s="3" t="s">
        <v>30</v>
      </c>
      <c r="I635" s="3" t="s">
        <v>26</v>
      </c>
      <c r="J635" s="5">
        <v>72236.210000000006</v>
      </c>
    </row>
    <row r="636" spans="1:10" x14ac:dyDescent="0.3">
      <c r="A636" s="3" t="s">
        <v>710</v>
      </c>
      <c r="B636" s="4">
        <v>45751</v>
      </c>
      <c r="C636" s="3" t="s">
        <v>11</v>
      </c>
      <c r="D636" s="3" t="s">
        <v>18</v>
      </c>
      <c r="E636" s="3" t="s">
        <v>47</v>
      </c>
      <c r="F636" s="3" t="s">
        <v>56</v>
      </c>
      <c r="G636" s="5">
        <v>35.21</v>
      </c>
      <c r="H636" s="3" t="s">
        <v>25</v>
      </c>
      <c r="I636" s="3" t="s">
        <v>26</v>
      </c>
      <c r="J636" s="5">
        <v>72201</v>
      </c>
    </row>
    <row r="637" spans="1:10" x14ac:dyDescent="0.3">
      <c r="A637" s="3" t="s">
        <v>711</v>
      </c>
      <c r="B637" s="4">
        <v>45752</v>
      </c>
      <c r="C637" s="3" t="s">
        <v>11</v>
      </c>
      <c r="D637" s="3" t="s">
        <v>18</v>
      </c>
      <c r="E637" s="3" t="s">
        <v>43</v>
      </c>
      <c r="F637" s="3" t="s">
        <v>103</v>
      </c>
      <c r="G637" s="5">
        <v>97.99</v>
      </c>
      <c r="H637" s="3" t="s">
        <v>21</v>
      </c>
      <c r="I637" s="3" t="s">
        <v>16</v>
      </c>
      <c r="J637" s="5">
        <v>72103.009999999995</v>
      </c>
    </row>
    <row r="638" spans="1:10" x14ac:dyDescent="0.3">
      <c r="A638" s="3" t="s">
        <v>712</v>
      </c>
      <c r="B638" s="4">
        <v>45752</v>
      </c>
      <c r="C638" s="3" t="s">
        <v>11</v>
      </c>
      <c r="D638" s="3" t="s">
        <v>18</v>
      </c>
      <c r="E638" s="3" t="s">
        <v>47</v>
      </c>
      <c r="F638" s="3" t="s">
        <v>106</v>
      </c>
      <c r="G638" s="5">
        <v>36.79</v>
      </c>
      <c r="H638" s="3" t="s">
        <v>25</v>
      </c>
      <c r="I638" s="3" t="s">
        <v>26</v>
      </c>
      <c r="J638" s="5">
        <v>72066.22</v>
      </c>
    </row>
    <row r="639" spans="1:10" x14ac:dyDescent="0.3">
      <c r="A639" s="3" t="s">
        <v>713</v>
      </c>
      <c r="B639" s="4">
        <v>45753</v>
      </c>
      <c r="C639" s="3" t="s">
        <v>36</v>
      </c>
      <c r="D639" s="3" t="s">
        <v>18</v>
      </c>
      <c r="E639" s="3" t="s">
        <v>43</v>
      </c>
      <c r="F639" s="3" t="s">
        <v>339</v>
      </c>
      <c r="G639" s="5">
        <v>190.01</v>
      </c>
      <c r="H639" s="3" t="s">
        <v>21</v>
      </c>
      <c r="I639" s="3" t="s">
        <v>16</v>
      </c>
      <c r="J639" s="5">
        <v>71876.210000000006</v>
      </c>
    </row>
    <row r="640" spans="1:10" x14ac:dyDescent="0.3">
      <c r="A640" s="3" t="s">
        <v>714</v>
      </c>
      <c r="B640" s="4">
        <v>45753</v>
      </c>
      <c r="C640" s="3" t="s">
        <v>11</v>
      </c>
      <c r="D640" s="3" t="s">
        <v>18</v>
      </c>
      <c r="E640" s="3" t="s">
        <v>39</v>
      </c>
      <c r="F640" s="3" t="s">
        <v>64</v>
      </c>
      <c r="G640" s="5">
        <v>88.68</v>
      </c>
      <c r="H640" s="3" t="s">
        <v>30</v>
      </c>
      <c r="I640" s="3" t="s">
        <v>26</v>
      </c>
      <c r="J640" s="5">
        <v>71787.53</v>
      </c>
    </row>
    <row r="641" spans="1:10" x14ac:dyDescent="0.3">
      <c r="A641" s="3" t="s">
        <v>715</v>
      </c>
      <c r="B641" s="4">
        <v>45754</v>
      </c>
      <c r="C641" s="3" t="s">
        <v>11</v>
      </c>
      <c r="D641" s="3" t="s">
        <v>18</v>
      </c>
      <c r="E641" s="3" t="s">
        <v>23</v>
      </c>
      <c r="F641" s="3" t="s">
        <v>32</v>
      </c>
      <c r="G641" s="5">
        <v>33.97</v>
      </c>
      <c r="H641" s="3" t="s">
        <v>30</v>
      </c>
      <c r="I641" s="3" t="s">
        <v>26</v>
      </c>
      <c r="J641" s="5">
        <v>71753.56</v>
      </c>
    </row>
    <row r="642" spans="1:10" x14ac:dyDescent="0.3">
      <c r="A642" s="3" t="s">
        <v>716</v>
      </c>
      <c r="B642" s="4">
        <v>45754</v>
      </c>
      <c r="C642" s="3" t="s">
        <v>11</v>
      </c>
      <c r="D642" s="3" t="s">
        <v>18</v>
      </c>
      <c r="E642" s="3" t="s">
        <v>39</v>
      </c>
      <c r="F642" s="3" t="s">
        <v>170</v>
      </c>
      <c r="G642" s="5">
        <v>32.86</v>
      </c>
      <c r="H642" s="3" t="s">
        <v>30</v>
      </c>
      <c r="I642" s="3" t="s">
        <v>26</v>
      </c>
      <c r="J642" s="5">
        <v>71720.7</v>
      </c>
    </row>
    <row r="643" spans="1:10" x14ac:dyDescent="0.3">
      <c r="A643" s="3" t="s">
        <v>717</v>
      </c>
      <c r="B643" s="4">
        <v>45755</v>
      </c>
      <c r="C643" s="3" t="s">
        <v>36</v>
      </c>
      <c r="D643" s="3" t="s">
        <v>18</v>
      </c>
      <c r="E643" s="3" t="s">
        <v>43</v>
      </c>
      <c r="F643" s="3" t="s">
        <v>103</v>
      </c>
      <c r="G643" s="5">
        <v>144.55000000000001</v>
      </c>
      <c r="H643" s="3" t="s">
        <v>21</v>
      </c>
      <c r="I643" s="3" t="s">
        <v>16</v>
      </c>
      <c r="J643" s="5">
        <v>71576.149999999994</v>
      </c>
    </row>
    <row r="644" spans="1:10" x14ac:dyDescent="0.3">
      <c r="A644" s="3" t="s">
        <v>718</v>
      </c>
      <c r="B644" s="4">
        <v>45755</v>
      </c>
      <c r="C644" s="3" t="s">
        <v>11</v>
      </c>
      <c r="D644" s="3" t="s">
        <v>18</v>
      </c>
      <c r="E644" s="3" t="s">
        <v>28</v>
      </c>
      <c r="F644" s="3" t="s">
        <v>29</v>
      </c>
      <c r="G644" s="5">
        <v>118.24</v>
      </c>
      <c r="H644" s="3" t="s">
        <v>34</v>
      </c>
      <c r="I644" s="3" t="s">
        <v>26</v>
      </c>
      <c r="J644" s="5">
        <v>71457.91</v>
      </c>
    </row>
    <row r="645" spans="1:10" x14ac:dyDescent="0.3">
      <c r="A645" s="3" t="s">
        <v>719</v>
      </c>
      <c r="B645" s="4">
        <v>45755</v>
      </c>
      <c r="C645" s="3" t="s">
        <v>11</v>
      </c>
      <c r="D645" s="3" t="s">
        <v>18</v>
      </c>
      <c r="E645" s="3" t="s">
        <v>39</v>
      </c>
      <c r="F645" s="3" t="s">
        <v>170</v>
      </c>
      <c r="G645" s="5">
        <v>55.19</v>
      </c>
      <c r="H645" s="3" t="s">
        <v>30</v>
      </c>
      <c r="I645" s="3" t="s">
        <v>26</v>
      </c>
      <c r="J645" s="5">
        <v>71402.720000000001</v>
      </c>
    </row>
    <row r="646" spans="1:10" x14ac:dyDescent="0.3">
      <c r="A646" s="3" t="s">
        <v>720</v>
      </c>
      <c r="B646" s="4">
        <v>45756</v>
      </c>
      <c r="C646" s="3" t="s">
        <v>11</v>
      </c>
      <c r="D646" s="3" t="s">
        <v>18</v>
      </c>
      <c r="E646" s="3" t="s">
        <v>28</v>
      </c>
      <c r="F646" s="3" t="s">
        <v>29</v>
      </c>
      <c r="G646" s="5">
        <v>25.09</v>
      </c>
      <c r="H646" s="3" t="s">
        <v>30</v>
      </c>
      <c r="I646" s="3" t="s">
        <v>26</v>
      </c>
      <c r="J646" s="5">
        <v>71377.63</v>
      </c>
    </row>
    <row r="647" spans="1:10" x14ac:dyDescent="0.3">
      <c r="A647" s="3" t="s">
        <v>721</v>
      </c>
      <c r="B647" s="4">
        <v>45757</v>
      </c>
      <c r="C647" s="3" t="s">
        <v>11</v>
      </c>
      <c r="D647" s="3" t="s">
        <v>12</v>
      </c>
      <c r="E647" s="3" t="s">
        <v>108</v>
      </c>
      <c r="F647" s="3" t="s">
        <v>388</v>
      </c>
      <c r="G647" s="5">
        <v>1494.91</v>
      </c>
      <c r="H647" s="3" t="s">
        <v>110</v>
      </c>
      <c r="I647" s="3" t="s">
        <v>26</v>
      </c>
      <c r="J647" s="5">
        <v>72872.539999999994</v>
      </c>
    </row>
    <row r="648" spans="1:10" x14ac:dyDescent="0.3">
      <c r="A648" s="3" t="s">
        <v>722</v>
      </c>
      <c r="B648" s="4">
        <v>45757</v>
      </c>
      <c r="C648" s="3" t="s">
        <v>36</v>
      </c>
      <c r="D648" s="3" t="s">
        <v>18</v>
      </c>
      <c r="E648" s="3" t="s">
        <v>43</v>
      </c>
      <c r="F648" s="3" t="s">
        <v>339</v>
      </c>
      <c r="G648" s="5">
        <v>170.72</v>
      </c>
      <c r="H648" s="3" t="s">
        <v>21</v>
      </c>
      <c r="I648" s="3" t="s">
        <v>16</v>
      </c>
      <c r="J648" s="5">
        <v>72701.820000000007</v>
      </c>
    </row>
    <row r="649" spans="1:10" x14ac:dyDescent="0.3">
      <c r="A649" s="3" t="s">
        <v>723</v>
      </c>
      <c r="B649" s="4">
        <v>45757</v>
      </c>
      <c r="C649" s="3" t="s">
        <v>36</v>
      </c>
      <c r="D649" s="3" t="s">
        <v>18</v>
      </c>
      <c r="E649" s="3" t="s">
        <v>23</v>
      </c>
      <c r="F649" s="3" t="s">
        <v>87</v>
      </c>
      <c r="G649" s="5">
        <v>36.979999999999997</v>
      </c>
      <c r="H649" s="3" t="s">
        <v>25</v>
      </c>
      <c r="I649" s="3" t="s">
        <v>26</v>
      </c>
      <c r="J649" s="5">
        <v>72664.84</v>
      </c>
    </row>
    <row r="650" spans="1:10" x14ac:dyDescent="0.3">
      <c r="A650" s="3" t="s">
        <v>724</v>
      </c>
      <c r="B650" s="4">
        <v>45758</v>
      </c>
      <c r="C650" s="3" t="s">
        <v>36</v>
      </c>
      <c r="D650" s="3" t="s">
        <v>18</v>
      </c>
      <c r="E650" s="3" t="s">
        <v>28</v>
      </c>
      <c r="F650" s="3" t="s">
        <v>114</v>
      </c>
      <c r="G650" s="5">
        <v>157.15</v>
      </c>
      <c r="H650" s="3" t="s">
        <v>30</v>
      </c>
      <c r="I650" s="3" t="s">
        <v>26</v>
      </c>
      <c r="J650" s="5">
        <v>72507.69</v>
      </c>
    </row>
    <row r="651" spans="1:10" x14ac:dyDescent="0.3">
      <c r="A651" s="3" t="s">
        <v>725</v>
      </c>
      <c r="B651" s="4">
        <v>45759</v>
      </c>
      <c r="C651" s="3" t="s">
        <v>36</v>
      </c>
      <c r="D651" s="3" t="s">
        <v>18</v>
      </c>
      <c r="E651" s="3" t="s">
        <v>23</v>
      </c>
      <c r="F651" s="3" t="s">
        <v>32</v>
      </c>
      <c r="G651" s="5">
        <v>20.190000000000001</v>
      </c>
      <c r="H651" s="3" t="s">
        <v>30</v>
      </c>
      <c r="I651" s="3" t="s">
        <v>26</v>
      </c>
      <c r="J651" s="5">
        <v>72487.5</v>
      </c>
    </row>
    <row r="652" spans="1:10" x14ac:dyDescent="0.3">
      <c r="A652" s="3" t="s">
        <v>726</v>
      </c>
      <c r="B652" s="4">
        <v>45759</v>
      </c>
      <c r="C652" s="3" t="s">
        <v>11</v>
      </c>
      <c r="D652" s="3" t="s">
        <v>18</v>
      </c>
      <c r="E652" s="3" t="s">
        <v>47</v>
      </c>
      <c r="F652" s="3" t="s">
        <v>56</v>
      </c>
      <c r="G652" s="5">
        <v>20.78</v>
      </c>
      <c r="H652" s="3" t="s">
        <v>34</v>
      </c>
      <c r="I652" s="3" t="s">
        <v>26</v>
      </c>
      <c r="J652" s="5">
        <v>72466.720000000001</v>
      </c>
    </row>
    <row r="653" spans="1:10" x14ac:dyDescent="0.3">
      <c r="A653" s="3" t="s">
        <v>727</v>
      </c>
      <c r="B653" s="4">
        <v>45759</v>
      </c>
      <c r="C653" s="3" t="s">
        <v>11</v>
      </c>
      <c r="D653" s="3" t="s">
        <v>18</v>
      </c>
      <c r="E653" s="3" t="s">
        <v>39</v>
      </c>
      <c r="F653" s="3" t="s">
        <v>170</v>
      </c>
      <c r="G653" s="5">
        <v>80.64</v>
      </c>
      <c r="H653" s="3" t="s">
        <v>30</v>
      </c>
      <c r="I653" s="3" t="s">
        <v>26</v>
      </c>
      <c r="J653" s="5">
        <v>72386.080000000002</v>
      </c>
    </row>
    <row r="654" spans="1:10" x14ac:dyDescent="0.3">
      <c r="A654" s="3" t="s">
        <v>728</v>
      </c>
      <c r="B654" s="4">
        <v>45760</v>
      </c>
      <c r="C654" s="3" t="s">
        <v>36</v>
      </c>
      <c r="D654" s="3" t="s">
        <v>18</v>
      </c>
      <c r="E654" s="3" t="s">
        <v>28</v>
      </c>
      <c r="F654" s="3" t="s">
        <v>74</v>
      </c>
      <c r="G654" s="5">
        <v>113.84</v>
      </c>
      <c r="H654" s="3" t="s">
        <v>34</v>
      </c>
      <c r="I654" s="3" t="s">
        <v>26</v>
      </c>
      <c r="J654" s="5">
        <v>72272.240000000005</v>
      </c>
    </row>
    <row r="655" spans="1:10" x14ac:dyDescent="0.3">
      <c r="A655" s="3" t="s">
        <v>729</v>
      </c>
      <c r="B655" s="4">
        <v>45761</v>
      </c>
      <c r="C655" s="3" t="s">
        <v>11</v>
      </c>
      <c r="D655" s="3" t="s">
        <v>18</v>
      </c>
      <c r="E655" s="3" t="s">
        <v>28</v>
      </c>
      <c r="F655" s="3" t="s">
        <v>58</v>
      </c>
      <c r="G655" s="5">
        <v>88.8</v>
      </c>
      <c r="H655" s="3" t="s">
        <v>30</v>
      </c>
      <c r="I655" s="3" t="s">
        <v>26</v>
      </c>
      <c r="J655" s="5">
        <v>72183.44</v>
      </c>
    </row>
    <row r="656" spans="1:10" x14ac:dyDescent="0.3">
      <c r="A656" s="3" t="s">
        <v>730</v>
      </c>
      <c r="B656" s="4">
        <v>45761</v>
      </c>
      <c r="C656" s="3" t="s">
        <v>36</v>
      </c>
      <c r="D656" s="3" t="s">
        <v>18</v>
      </c>
      <c r="E656" s="3" t="s">
        <v>39</v>
      </c>
      <c r="F656" s="3" t="s">
        <v>156</v>
      </c>
      <c r="G656" s="5">
        <v>36.380000000000003</v>
      </c>
      <c r="H656" s="3" t="s">
        <v>34</v>
      </c>
      <c r="I656" s="3" t="s">
        <v>26</v>
      </c>
      <c r="J656" s="5">
        <v>72147.06</v>
      </c>
    </row>
    <row r="657" spans="1:10" x14ac:dyDescent="0.3">
      <c r="A657" s="3" t="s">
        <v>731</v>
      </c>
      <c r="B657" s="4">
        <v>45762</v>
      </c>
      <c r="C657" s="3" t="s">
        <v>11</v>
      </c>
      <c r="D657" s="3" t="s">
        <v>12</v>
      </c>
      <c r="E657" s="3" t="s">
        <v>13</v>
      </c>
      <c r="F657" s="3" t="s">
        <v>239</v>
      </c>
      <c r="G657" s="5">
        <v>4166.3900000000003</v>
      </c>
      <c r="H657" s="3" t="s">
        <v>15</v>
      </c>
      <c r="I657" s="3" t="s">
        <v>16</v>
      </c>
      <c r="J657" s="5">
        <v>76313.45</v>
      </c>
    </row>
    <row r="658" spans="1:10" x14ac:dyDescent="0.3">
      <c r="A658" s="3" t="s">
        <v>732</v>
      </c>
      <c r="B658" s="4">
        <v>45764</v>
      </c>
      <c r="C658" s="3" t="s">
        <v>11</v>
      </c>
      <c r="D658" s="3" t="s">
        <v>18</v>
      </c>
      <c r="E658" s="3" t="s">
        <v>28</v>
      </c>
      <c r="F658" s="3" t="s">
        <v>117</v>
      </c>
      <c r="G658" s="5">
        <v>139.97</v>
      </c>
      <c r="H658" s="3" t="s">
        <v>30</v>
      </c>
      <c r="I658" s="3" t="s">
        <v>26</v>
      </c>
      <c r="J658" s="5">
        <v>76173.48</v>
      </c>
    </row>
    <row r="659" spans="1:10" x14ac:dyDescent="0.3">
      <c r="A659" s="3" t="s">
        <v>733</v>
      </c>
      <c r="B659" s="4">
        <v>45765</v>
      </c>
      <c r="C659" s="3" t="s">
        <v>11</v>
      </c>
      <c r="D659" s="3" t="s">
        <v>18</v>
      </c>
      <c r="E659" s="3" t="s">
        <v>28</v>
      </c>
      <c r="F659" s="3" t="s">
        <v>117</v>
      </c>
      <c r="G659" s="5">
        <v>130.79</v>
      </c>
      <c r="H659" s="3" t="s">
        <v>30</v>
      </c>
      <c r="I659" s="3" t="s">
        <v>26</v>
      </c>
      <c r="J659" s="5">
        <v>76042.69</v>
      </c>
    </row>
    <row r="660" spans="1:10" x14ac:dyDescent="0.3">
      <c r="A660" s="3" t="s">
        <v>734</v>
      </c>
      <c r="B660" s="4">
        <v>45766</v>
      </c>
      <c r="C660" s="3" t="s">
        <v>126</v>
      </c>
      <c r="D660" s="3" t="s">
        <v>12</v>
      </c>
      <c r="E660" s="3" t="s">
        <v>108</v>
      </c>
      <c r="F660" s="3" t="s">
        <v>109</v>
      </c>
      <c r="G660" s="5">
        <v>857.79</v>
      </c>
      <c r="H660" s="3" t="s">
        <v>183</v>
      </c>
      <c r="I660" s="3" t="s">
        <v>26</v>
      </c>
      <c r="J660" s="5">
        <v>76900.479999999996</v>
      </c>
    </row>
    <row r="661" spans="1:10" x14ac:dyDescent="0.3">
      <c r="A661" s="3" t="s">
        <v>735</v>
      </c>
      <c r="B661" s="4">
        <v>45766</v>
      </c>
      <c r="C661" s="3" t="s">
        <v>11</v>
      </c>
      <c r="D661" s="3" t="s">
        <v>18</v>
      </c>
      <c r="E661" s="3" t="s">
        <v>28</v>
      </c>
      <c r="F661" s="3" t="s">
        <v>29</v>
      </c>
      <c r="G661" s="5">
        <v>39.979999999999997</v>
      </c>
      <c r="H661" s="3" t="s">
        <v>34</v>
      </c>
      <c r="I661" s="3" t="s">
        <v>26</v>
      </c>
      <c r="J661" s="5">
        <v>76860.5</v>
      </c>
    </row>
    <row r="662" spans="1:10" x14ac:dyDescent="0.3">
      <c r="A662" s="3" t="s">
        <v>736</v>
      </c>
      <c r="B662" s="4">
        <v>45766</v>
      </c>
      <c r="C662" s="3" t="s">
        <v>11</v>
      </c>
      <c r="D662" s="3" t="s">
        <v>18</v>
      </c>
      <c r="E662" s="3" t="s">
        <v>23</v>
      </c>
      <c r="F662" s="3" t="s">
        <v>135</v>
      </c>
      <c r="G662" s="5">
        <v>65.349999999999994</v>
      </c>
      <c r="H662" s="3" t="s">
        <v>30</v>
      </c>
      <c r="I662" s="3" t="s">
        <v>26</v>
      </c>
      <c r="J662" s="5">
        <v>76795.149999999994</v>
      </c>
    </row>
    <row r="663" spans="1:10" x14ac:dyDescent="0.3">
      <c r="A663" s="3" t="s">
        <v>737</v>
      </c>
      <c r="B663" s="4">
        <v>45767</v>
      </c>
      <c r="C663" s="3" t="s">
        <v>11</v>
      </c>
      <c r="D663" s="3" t="s">
        <v>18</v>
      </c>
      <c r="E663" s="3" t="s">
        <v>28</v>
      </c>
      <c r="F663" s="3" t="s">
        <v>52</v>
      </c>
      <c r="G663" s="5">
        <v>93.15</v>
      </c>
      <c r="H663" s="3" t="s">
        <v>30</v>
      </c>
      <c r="I663" s="3" t="s">
        <v>26</v>
      </c>
      <c r="J663" s="5">
        <v>76702</v>
      </c>
    </row>
    <row r="664" spans="1:10" x14ac:dyDescent="0.3">
      <c r="A664" s="3" t="s">
        <v>738</v>
      </c>
      <c r="B664" s="4">
        <v>45767</v>
      </c>
      <c r="C664" s="3" t="s">
        <v>11</v>
      </c>
      <c r="D664" s="3" t="s">
        <v>18</v>
      </c>
      <c r="E664" s="3" t="s">
        <v>23</v>
      </c>
      <c r="F664" s="3" t="s">
        <v>124</v>
      </c>
      <c r="G664" s="5">
        <v>21.63</v>
      </c>
      <c r="H664" s="3" t="s">
        <v>34</v>
      </c>
      <c r="I664" s="3" t="s">
        <v>26</v>
      </c>
      <c r="J664" s="5">
        <v>76680.37</v>
      </c>
    </row>
    <row r="665" spans="1:10" x14ac:dyDescent="0.3">
      <c r="A665" s="3" t="s">
        <v>739</v>
      </c>
      <c r="B665" s="4">
        <v>45770</v>
      </c>
      <c r="C665" s="3" t="s">
        <v>11</v>
      </c>
      <c r="D665" s="3" t="s">
        <v>18</v>
      </c>
      <c r="E665" s="3" t="s">
        <v>28</v>
      </c>
      <c r="F665" s="3" t="s">
        <v>79</v>
      </c>
      <c r="G665" s="5">
        <v>136.66999999999999</v>
      </c>
      <c r="H665" s="3" t="s">
        <v>30</v>
      </c>
      <c r="I665" s="3" t="s">
        <v>26</v>
      </c>
      <c r="J665" s="5">
        <v>76543.7</v>
      </c>
    </row>
    <row r="666" spans="1:10" x14ac:dyDescent="0.3">
      <c r="A666" s="3" t="s">
        <v>740</v>
      </c>
      <c r="B666" s="4">
        <v>45770</v>
      </c>
      <c r="C666" s="3" t="s">
        <v>36</v>
      </c>
      <c r="D666" s="3" t="s">
        <v>18</v>
      </c>
      <c r="E666" s="3" t="s">
        <v>23</v>
      </c>
      <c r="F666" s="3" t="s">
        <v>135</v>
      </c>
      <c r="G666" s="5">
        <v>9.9700000000000006</v>
      </c>
      <c r="H666" s="3" t="s">
        <v>34</v>
      </c>
      <c r="I666" s="3" t="s">
        <v>26</v>
      </c>
      <c r="J666" s="5">
        <v>76533.73</v>
      </c>
    </row>
    <row r="667" spans="1:10" x14ac:dyDescent="0.3">
      <c r="A667" s="3" t="s">
        <v>741</v>
      </c>
      <c r="B667" s="4">
        <v>45770</v>
      </c>
      <c r="C667" s="3" t="s">
        <v>36</v>
      </c>
      <c r="D667" s="3" t="s">
        <v>18</v>
      </c>
      <c r="E667" s="3" t="s">
        <v>47</v>
      </c>
      <c r="F667" s="3" t="s">
        <v>60</v>
      </c>
      <c r="G667" s="5">
        <v>12.58</v>
      </c>
      <c r="H667" s="3" t="s">
        <v>25</v>
      </c>
      <c r="I667" s="3" t="s">
        <v>26</v>
      </c>
      <c r="J667" s="5">
        <v>76521.149999999994</v>
      </c>
    </row>
    <row r="668" spans="1:10" x14ac:dyDescent="0.3">
      <c r="A668" s="3" t="s">
        <v>742</v>
      </c>
      <c r="B668" s="4">
        <v>45772</v>
      </c>
      <c r="C668" s="3" t="s">
        <v>36</v>
      </c>
      <c r="D668" s="3" t="s">
        <v>18</v>
      </c>
      <c r="E668" s="3" t="s">
        <v>47</v>
      </c>
      <c r="F668" s="3" t="s">
        <v>106</v>
      </c>
      <c r="G668" s="5">
        <v>29.28</v>
      </c>
      <c r="H668" s="3" t="s">
        <v>34</v>
      </c>
      <c r="I668" s="3" t="s">
        <v>26</v>
      </c>
      <c r="J668" s="5">
        <v>76491.87</v>
      </c>
    </row>
    <row r="669" spans="1:10" x14ac:dyDescent="0.3">
      <c r="A669" s="3" t="s">
        <v>743</v>
      </c>
      <c r="B669" s="4">
        <v>45774</v>
      </c>
      <c r="C669" s="3" t="s">
        <v>11</v>
      </c>
      <c r="D669" s="3" t="s">
        <v>12</v>
      </c>
      <c r="E669" s="3" t="s">
        <v>108</v>
      </c>
      <c r="F669" s="3" t="s">
        <v>109</v>
      </c>
      <c r="G669" s="5">
        <v>560.49</v>
      </c>
      <c r="H669" s="3" t="s">
        <v>183</v>
      </c>
      <c r="I669" s="3" t="s">
        <v>26</v>
      </c>
      <c r="J669" s="5">
        <v>77052.36</v>
      </c>
    </row>
    <row r="670" spans="1:10" x14ac:dyDescent="0.3">
      <c r="A670" s="3" t="s">
        <v>744</v>
      </c>
      <c r="B670" s="4">
        <v>45774</v>
      </c>
      <c r="C670" s="3" t="s">
        <v>11</v>
      </c>
      <c r="D670" s="3" t="s">
        <v>18</v>
      </c>
      <c r="E670" s="3" t="s">
        <v>47</v>
      </c>
      <c r="F670" s="3" t="s">
        <v>69</v>
      </c>
      <c r="G670" s="5">
        <v>27.31</v>
      </c>
      <c r="H670" s="3" t="s">
        <v>34</v>
      </c>
      <c r="I670" s="3" t="s">
        <v>26</v>
      </c>
      <c r="J670" s="5">
        <v>77025.05</v>
      </c>
    </row>
    <row r="671" spans="1:10" x14ac:dyDescent="0.3">
      <c r="A671" s="3" t="s">
        <v>745</v>
      </c>
      <c r="B671" s="4">
        <v>45775</v>
      </c>
      <c r="C671" s="3" t="s">
        <v>36</v>
      </c>
      <c r="D671" s="3" t="s">
        <v>18</v>
      </c>
      <c r="E671" s="3" t="s">
        <v>23</v>
      </c>
      <c r="F671" s="3" t="s">
        <v>98</v>
      </c>
      <c r="G671" s="5">
        <v>45.67</v>
      </c>
      <c r="H671" s="3" t="s">
        <v>30</v>
      </c>
      <c r="I671" s="3" t="s">
        <v>26</v>
      </c>
      <c r="J671" s="5">
        <v>76979.38</v>
      </c>
    </row>
    <row r="672" spans="1:10" x14ac:dyDescent="0.3">
      <c r="A672" s="3" t="s">
        <v>746</v>
      </c>
      <c r="B672" s="4">
        <v>45777</v>
      </c>
      <c r="C672" s="3" t="s">
        <v>36</v>
      </c>
      <c r="D672" s="3" t="s">
        <v>18</v>
      </c>
      <c r="E672" s="3" t="s">
        <v>23</v>
      </c>
      <c r="F672" s="3" t="s">
        <v>87</v>
      </c>
      <c r="G672" s="5">
        <v>57.76</v>
      </c>
      <c r="H672" s="3" t="s">
        <v>34</v>
      </c>
      <c r="I672" s="3" t="s">
        <v>26</v>
      </c>
      <c r="J672" s="5">
        <v>76921.62</v>
      </c>
    </row>
    <row r="673" spans="1:10" x14ac:dyDescent="0.3">
      <c r="A673" s="3" t="s">
        <v>747</v>
      </c>
      <c r="B673" s="4">
        <v>45778</v>
      </c>
      <c r="C673" s="3" t="s">
        <v>11</v>
      </c>
      <c r="D673" s="3" t="s">
        <v>12</v>
      </c>
      <c r="E673" s="3" t="s">
        <v>13</v>
      </c>
      <c r="F673" s="3" t="s">
        <v>239</v>
      </c>
      <c r="G673" s="5">
        <v>4842.45</v>
      </c>
      <c r="H673" s="3" t="s">
        <v>15</v>
      </c>
      <c r="I673" s="3" t="s">
        <v>16</v>
      </c>
      <c r="J673" s="5">
        <v>81764.070000000007</v>
      </c>
    </row>
    <row r="674" spans="1:10" x14ac:dyDescent="0.3">
      <c r="A674" s="3" t="s">
        <v>748</v>
      </c>
      <c r="B674" s="4">
        <v>45778</v>
      </c>
      <c r="C674" s="3" t="s">
        <v>11</v>
      </c>
      <c r="D674" s="3" t="s">
        <v>18</v>
      </c>
      <c r="E674" s="3" t="s">
        <v>28</v>
      </c>
      <c r="F674" s="3" t="s">
        <v>117</v>
      </c>
      <c r="G674" s="5">
        <v>89.35</v>
      </c>
      <c r="H674" s="3" t="s">
        <v>34</v>
      </c>
      <c r="I674" s="3" t="s">
        <v>26</v>
      </c>
      <c r="J674" s="5">
        <v>81674.720000000001</v>
      </c>
    </row>
    <row r="675" spans="1:10" x14ac:dyDescent="0.3">
      <c r="A675" s="3" t="s">
        <v>749</v>
      </c>
      <c r="B675" s="4">
        <v>45779</v>
      </c>
      <c r="C675" s="3" t="s">
        <v>11</v>
      </c>
      <c r="D675" s="3" t="s">
        <v>18</v>
      </c>
      <c r="E675" s="3" t="s">
        <v>23</v>
      </c>
      <c r="F675" s="3" t="s">
        <v>87</v>
      </c>
      <c r="G675" s="5">
        <v>74.05</v>
      </c>
      <c r="H675" s="3" t="s">
        <v>25</v>
      </c>
      <c r="I675" s="3" t="s">
        <v>26</v>
      </c>
      <c r="J675" s="5">
        <v>81600.67</v>
      </c>
    </row>
    <row r="676" spans="1:10" x14ac:dyDescent="0.3">
      <c r="A676" s="3" t="s">
        <v>750</v>
      </c>
      <c r="B676" s="4">
        <v>45779</v>
      </c>
      <c r="C676" s="3" t="s">
        <v>11</v>
      </c>
      <c r="D676" s="3" t="s">
        <v>18</v>
      </c>
      <c r="E676" s="3" t="s">
        <v>47</v>
      </c>
      <c r="F676" s="3" t="s">
        <v>48</v>
      </c>
      <c r="G676" s="5">
        <v>38.36</v>
      </c>
      <c r="H676" s="3" t="s">
        <v>34</v>
      </c>
      <c r="I676" s="3" t="s">
        <v>26</v>
      </c>
      <c r="J676" s="5">
        <v>81562.31</v>
      </c>
    </row>
    <row r="677" spans="1:10" x14ac:dyDescent="0.3">
      <c r="A677" s="3" t="s">
        <v>751</v>
      </c>
      <c r="B677" s="4">
        <v>45780</v>
      </c>
      <c r="C677" s="3" t="s">
        <v>36</v>
      </c>
      <c r="D677" s="3" t="s">
        <v>18</v>
      </c>
      <c r="E677" s="3" t="s">
        <v>28</v>
      </c>
      <c r="F677" s="3" t="s">
        <v>79</v>
      </c>
      <c r="G677" s="5">
        <v>168.89</v>
      </c>
      <c r="H677" s="3" t="s">
        <v>34</v>
      </c>
      <c r="I677" s="3" t="s">
        <v>26</v>
      </c>
      <c r="J677" s="5">
        <v>81393.42</v>
      </c>
    </row>
    <row r="678" spans="1:10" x14ac:dyDescent="0.3">
      <c r="A678" s="3" t="s">
        <v>752</v>
      </c>
      <c r="B678" s="4">
        <v>45781</v>
      </c>
      <c r="C678" s="3" t="s">
        <v>36</v>
      </c>
      <c r="D678" s="3" t="s">
        <v>18</v>
      </c>
      <c r="E678" s="3" t="s">
        <v>39</v>
      </c>
      <c r="F678" s="3" t="s">
        <v>64</v>
      </c>
      <c r="G678" s="5">
        <v>75.63</v>
      </c>
      <c r="H678" s="3" t="s">
        <v>30</v>
      </c>
      <c r="I678" s="3" t="s">
        <v>26</v>
      </c>
      <c r="J678" s="5">
        <v>81317.789999999994</v>
      </c>
    </row>
    <row r="679" spans="1:10" x14ac:dyDescent="0.3">
      <c r="A679" s="3" t="s">
        <v>753</v>
      </c>
      <c r="B679" s="4">
        <v>45782</v>
      </c>
      <c r="C679" s="3" t="s">
        <v>11</v>
      </c>
      <c r="D679" s="3" t="s">
        <v>18</v>
      </c>
      <c r="E679" s="3" t="s">
        <v>43</v>
      </c>
      <c r="F679" s="3" t="s">
        <v>44</v>
      </c>
      <c r="G679" s="5">
        <v>136.99</v>
      </c>
      <c r="H679" s="3" t="s">
        <v>21</v>
      </c>
      <c r="I679" s="3" t="s">
        <v>16</v>
      </c>
      <c r="J679" s="5">
        <v>81180.800000000003</v>
      </c>
    </row>
    <row r="680" spans="1:10" x14ac:dyDescent="0.3">
      <c r="A680" s="3" t="s">
        <v>754</v>
      </c>
      <c r="B680" s="4">
        <v>45782</v>
      </c>
      <c r="C680" s="3" t="s">
        <v>36</v>
      </c>
      <c r="D680" s="3" t="s">
        <v>18</v>
      </c>
      <c r="E680" s="3" t="s">
        <v>28</v>
      </c>
      <c r="F680" s="3" t="s">
        <v>52</v>
      </c>
      <c r="G680" s="5">
        <v>51.19</v>
      </c>
      <c r="H680" s="3" t="s">
        <v>30</v>
      </c>
      <c r="I680" s="3" t="s">
        <v>26</v>
      </c>
      <c r="J680" s="5">
        <v>81129.61</v>
      </c>
    </row>
    <row r="681" spans="1:10" x14ac:dyDescent="0.3">
      <c r="A681" s="3" t="s">
        <v>755</v>
      </c>
      <c r="B681" s="4">
        <v>45782</v>
      </c>
      <c r="C681" s="3" t="s">
        <v>36</v>
      </c>
      <c r="D681" s="3" t="s">
        <v>18</v>
      </c>
      <c r="E681" s="3" t="s">
        <v>23</v>
      </c>
      <c r="F681" s="3" t="s">
        <v>24</v>
      </c>
      <c r="G681" s="5">
        <v>66.92</v>
      </c>
      <c r="H681" s="3" t="s">
        <v>34</v>
      </c>
      <c r="I681" s="3" t="s">
        <v>26</v>
      </c>
      <c r="J681" s="5">
        <v>81062.69</v>
      </c>
    </row>
    <row r="682" spans="1:10" x14ac:dyDescent="0.3">
      <c r="A682" s="3" t="s">
        <v>756</v>
      </c>
      <c r="B682" s="4">
        <v>45783</v>
      </c>
      <c r="C682" s="3" t="s">
        <v>11</v>
      </c>
      <c r="D682" s="3" t="s">
        <v>18</v>
      </c>
      <c r="E682" s="3" t="s">
        <v>43</v>
      </c>
      <c r="F682" s="3" t="s">
        <v>103</v>
      </c>
      <c r="G682" s="5">
        <v>108.82</v>
      </c>
      <c r="H682" s="3" t="s">
        <v>21</v>
      </c>
      <c r="I682" s="3" t="s">
        <v>16</v>
      </c>
      <c r="J682" s="5">
        <v>80953.87</v>
      </c>
    </row>
    <row r="683" spans="1:10" x14ac:dyDescent="0.3">
      <c r="A683" s="3" t="s">
        <v>757</v>
      </c>
      <c r="B683" s="4">
        <v>45785</v>
      </c>
      <c r="C683" s="3" t="s">
        <v>126</v>
      </c>
      <c r="D683" s="3" t="s">
        <v>12</v>
      </c>
      <c r="E683" s="3" t="s">
        <v>108</v>
      </c>
      <c r="F683" s="3" t="s">
        <v>109</v>
      </c>
      <c r="G683" s="5">
        <v>912.35</v>
      </c>
      <c r="H683" s="3" t="s">
        <v>110</v>
      </c>
      <c r="I683" s="3" t="s">
        <v>26</v>
      </c>
      <c r="J683" s="5">
        <v>81866.22</v>
      </c>
    </row>
    <row r="684" spans="1:10" x14ac:dyDescent="0.3">
      <c r="A684" s="3" t="s">
        <v>758</v>
      </c>
      <c r="B684" s="4">
        <v>45785</v>
      </c>
      <c r="C684" s="3" t="s">
        <v>11</v>
      </c>
      <c r="D684" s="3" t="s">
        <v>18</v>
      </c>
      <c r="E684" s="3" t="s">
        <v>43</v>
      </c>
      <c r="F684" s="3" t="s">
        <v>103</v>
      </c>
      <c r="G684" s="5">
        <v>156.41999999999999</v>
      </c>
      <c r="H684" s="3" t="s">
        <v>21</v>
      </c>
      <c r="I684" s="3" t="s">
        <v>16</v>
      </c>
      <c r="J684" s="5">
        <v>81709.8</v>
      </c>
    </row>
    <row r="685" spans="1:10" x14ac:dyDescent="0.3">
      <c r="A685" s="3" t="s">
        <v>759</v>
      </c>
      <c r="B685" s="4">
        <v>45785</v>
      </c>
      <c r="C685" s="3" t="s">
        <v>36</v>
      </c>
      <c r="D685" s="3" t="s">
        <v>18</v>
      </c>
      <c r="E685" s="3" t="s">
        <v>47</v>
      </c>
      <c r="F685" s="3" t="s">
        <v>69</v>
      </c>
      <c r="G685" s="5">
        <v>30.35</v>
      </c>
      <c r="H685" s="3" t="s">
        <v>34</v>
      </c>
      <c r="I685" s="3" t="s">
        <v>26</v>
      </c>
      <c r="J685" s="5">
        <v>81679.45</v>
      </c>
    </row>
    <row r="686" spans="1:10" x14ac:dyDescent="0.3">
      <c r="A686" s="3" t="s">
        <v>760</v>
      </c>
      <c r="B686" s="4">
        <v>45786</v>
      </c>
      <c r="C686" s="3" t="s">
        <v>36</v>
      </c>
      <c r="D686" s="3" t="s">
        <v>18</v>
      </c>
      <c r="E686" s="3" t="s">
        <v>43</v>
      </c>
      <c r="F686" s="3" t="s">
        <v>50</v>
      </c>
      <c r="G686" s="5">
        <v>106.61</v>
      </c>
      <c r="H686" s="3" t="s">
        <v>21</v>
      </c>
      <c r="I686" s="3" t="s">
        <v>16</v>
      </c>
      <c r="J686" s="5">
        <v>81572.84</v>
      </c>
    </row>
    <row r="687" spans="1:10" x14ac:dyDescent="0.3">
      <c r="A687" s="3" t="s">
        <v>761</v>
      </c>
      <c r="B687" s="4">
        <v>45786</v>
      </c>
      <c r="C687" s="3" t="s">
        <v>11</v>
      </c>
      <c r="D687" s="3" t="s">
        <v>18</v>
      </c>
      <c r="E687" s="3" t="s">
        <v>23</v>
      </c>
      <c r="F687" s="3" t="s">
        <v>32</v>
      </c>
      <c r="G687" s="5">
        <v>56.1</v>
      </c>
      <c r="H687" s="3" t="s">
        <v>30</v>
      </c>
      <c r="I687" s="3" t="s">
        <v>26</v>
      </c>
      <c r="J687" s="5">
        <v>81516.740000000005</v>
      </c>
    </row>
    <row r="688" spans="1:10" x14ac:dyDescent="0.3">
      <c r="A688" s="3" t="s">
        <v>762</v>
      </c>
      <c r="B688" s="4">
        <v>45787</v>
      </c>
      <c r="C688" s="3" t="s">
        <v>36</v>
      </c>
      <c r="D688" s="3" t="s">
        <v>18</v>
      </c>
      <c r="E688" s="3" t="s">
        <v>43</v>
      </c>
      <c r="F688" s="3" t="s">
        <v>103</v>
      </c>
      <c r="G688" s="5">
        <v>186.95</v>
      </c>
      <c r="H688" s="3" t="s">
        <v>21</v>
      </c>
      <c r="I688" s="3" t="s">
        <v>16</v>
      </c>
      <c r="J688" s="5">
        <v>81329.789999999994</v>
      </c>
    </row>
    <row r="689" spans="1:10" x14ac:dyDescent="0.3">
      <c r="A689" s="3" t="s">
        <v>763</v>
      </c>
      <c r="B689" s="4">
        <v>45788</v>
      </c>
      <c r="C689" s="3" t="s">
        <v>11</v>
      </c>
      <c r="D689" s="3" t="s">
        <v>18</v>
      </c>
      <c r="E689" s="3" t="s">
        <v>28</v>
      </c>
      <c r="F689" s="3" t="s">
        <v>52</v>
      </c>
      <c r="G689" s="5">
        <v>30.75</v>
      </c>
      <c r="H689" s="3" t="s">
        <v>30</v>
      </c>
      <c r="I689" s="3" t="s">
        <v>26</v>
      </c>
      <c r="J689" s="5">
        <v>81299.039999999994</v>
      </c>
    </row>
    <row r="690" spans="1:10" x14ac:dyDescent="0.3">
      <c r="A690" s="3" t="s">
        <v>764</v>
      </c>
      <c r="B690" s="4">
        <v>45788</v>
      </c>
      <c r="C690" s="3" t="s">
        <v>11</v>
      </c>
      <c r="D690" s="3" t="s">
        <v>18</v>
      </c>
      <c r="E690" s="3" t="s">
        <v>23</v>
      </c>
      <c r="F690" s="3" t="s">
        <v>54</v>
      </c>
      <c r="G690" s="5">
        <v>39.299999999999997</v>
      </c>
      <c r="H690" s="3" t="s">
        <v>30</v>
      </c>
      <c r="I690" s="3" t="s">
        <v>26</v>
      </c>
      <c r="J690" s="5">
        <v>81259.740000000005</v>
      </c>
    </row>
    <row r="691" spans="1:10" x14ac:dyDescent="0.3">
      <c r="A691" s="3" t="s">
        <v>765</v>
      </c>
      <c r="B691" s="4">
        <v>45790</v>
      </c>
      <c r="C691" s="3" t="s">
        <v>11</v>
      </c>
      <c r="D691" s="3" t="s">
        <v>18</v>
      </c>
      <c r="E691" s="3" t="s">
        <v>23</v>
      </c>
      <c r="F691" s="3" t="s">
        <v>76</v>
      </c>
      <c r="G691" s="5">
        <v>46.88</v>
      </c>
      <c r="H691" s="3" t="s">
        <v>30</v>
      </c>
      <c r="I691" s="3" t="s">
        <v>26</v>
      </c>
      <c r="J691" s="5">
        <v>81212.86</v>
      </c>
    </row>
    <row r="692" spans="1:10" x14ac:dyDescent="0.3">
      <c r="A692" s="3" t="s">
        <v>766</v>
      </c>
      <c r="B692" s="4">
        <v>45790</v>
      </c>
      <c r="C692" s="3" t="s">
        <v>36</v>
      </c>
      <c r="D692" s="3" t="s">
        <v>18</v>
      </c>
      <c r="E692" s="3" t="s">
        <v>47</v>
      </c>
      <c r="F692" s="3" t="s">
        <v>82</v>
      </c>
      <c r="G692" s="5">
        <v>52.05</v>
      </c>
      <c r="H692" s="3" t="s">
        <v>34</v>
      </c>
      <c r="I692" s="3" t="s">
        <v>26</v>
      </c>
      <c r="J692" s="5">
        <v>81160.81</v>
      </c>
    </row>
    <row r="693" spans="1:10" x14ac:dyDescent="0.3">
      <c r="A693" s="3" t="s">
        <v>767</v>
      </c>
      <c r="B693" s="4">
        <v>45791</v>
      </c>
      <c r="C693" s="3" t="s">
        <v>36</v>
      </c>
      <c r="D693" s="3" t="s">
        <v>18</v>
      </c>
      <c r="E693" s="3" t="s">
        <v>28</v>
      </c>
      <c r="F693" s="3" t="s">
        <v>58</v>
      </c>
      <c r="G693" s="5">
        <v>93.81</v>
      </c>
      <c r="H693" s="3" t="s">
        <v>30</v>
      </c>
      <c r="I693" s="3" t="s">
        <v>26</v>
      </c>
      <c r="J693" s="5">
        <v>81067</v>
      </c>
    </row>
    <row r="694" spans="1:10" x14ac:dyDescent="0.3">
      <c r="A694" s="3" t="s">
        <v>768</v>
      </c>
      <c r="B694" s="4">
        <v>45792</v>
      </c>
      <c r="C694" s="3" t="s">
        <v>11</v>
      </c>
      <c r="D694" s="3" t="s">
        <v>12</v>
      </c>
      <c r="E694" s="3" t="s">
        <v>13</v>
      </c>
      <c r="F694" s="3" t="s">
        <v>239</v>
      </c>
      <c r="G694" s="5">
        <v>4306.01</v>
      </c>
      <c r="H694" s="3" t="s">
        <v>15</v>
      </c>
      <c r="I694" s="3" t="s">
        <v>16</v>
      </c>
      <c r="J694" s="5">
        <v>85373.01</v>
      </c>
    </row>
    <row r="695" spans="1:10" x14ac:dyDescent="0.3">
      <c r="A695" s="3" t="s">
        <v>769</v>
      </c>
      <c r="B695" s="4">
        <v>45792</v>
      </c>
      <c r="C695" s="3" t="s">
        <v>11</v>
      </c>
      <c r="D695" s="3" t="s">
        <v>18</v>
      </c>
      <c r="E695" s="3" t="s">
        <v>23</v>
      </c>
      <c r="F695" s="3" t="s">
        <v>24</v>
      </c>
      <c r="G695" s="5">
        <v>55.53</v>
      </c>
      <c r="H695" s="3" t="s">
        <v>30</v>
      </c>
      <c r="I695" s="3" t="s">
        <v>26</v>
      </c>
      <c r="J695" s="5">
        <v>85317.48</v>
      </c>
    </row>
    <row r="696" spans="1:10" x14ac:dyDescent="0.3">
      <c r="A696" s="3" t="s">
        <v>770</v>
      </c>
      <c r="B696" s="4">
        <v>45793</v>
      </c>
      <c r="C696" s="3" t="s">
        <v>36</v>
      </c>
      <c r="D696" s="3" t="s">
        <v>18</v>
      </c>
      <c r="E696" s="3" t="s">
        <v>23</v>
      </c>
      <c r="F696" s="3" t="s">
        <v>32</v>
      </c>
      <c r="G696" s="5">
        <v>15.91</v>
      </c>
      <c r="H696" s="3" t="s">
        <v>30</v>
      </c>
      <c r="I696" s="3" t="s">
        <v>26</v>
      </c>
      <c r="J696" s="5">
        <v>85301.57</v>
      </c>
    </row>
    <row r="697" spans="1:10" x14ac:dyDescent="0.3">
      <c r="A697" s="3" t="s">
        <v>771</v>
      </c>
      <c r="B697" s="4">
        <v>45793</v>
      </c>
      <c r="C697" s="3" t="s">
        <v>36</v>
      </c>
      <c r="D697" s="3" t="s">
        <v>18</v>
      </c>
      <c r="E697" s="3" t="s">
        <v>39</v>
      </c>
      <c r="F697" s="3" t="s">
        <v>40</v>
      </c>
      <c r="G697" s="5">
        <v>62.09</v>
      </c>
      <c r="H697" s="3" t="s">
        <v>34</v>
      </c>
      <c r="I697" s="3" t="s">
        <v>26</v>
      </c>
      <c r="J697" s="5">
        <v>85239.48</v>
      </c>
    </row>
    <row r="698" spans="1:10" x14ac:dyDescent="0.3">
      <c r="A698" s="3" t="s">
        <v>772</v>
      </c>
      <c r="B698" s="4">
        <v>45794</v>
      </c>
      <c r="C698" s="3" t="s">
        <v>36</v>
      </c>
      <c r="D698" s="3" t="s">
        <v>18</v>
      </c>
      <c r="E698" s="3" t="s">
        <v>28</v>
      </c>
      <c r="F698" s="3" t="s">
        <v>79</v>
      </c>
      <c r="G698" s="5">
        <v>24.33</v>
      </c>
      <c r="H698" s="3" t="s">
        <v>34</v>
      </c>
      <c r="I698" s="3" t="s">
        <v>26</v>
      </c>
      <c r="J698" s="5">
        <v>85215.15</v>
      </c>
    </row>
    <row r="699" spans="1:10" x14ac:dyDescent="0.3">
      <c r="A699" s="3" t="s">
        <v>773</v>
      </c>
      <c r="B699" s="4">
        <v>45795</v>
      </c>
      <c r="C699" s="3" t="s">
        <v>36</v>
      </c>
      <c r="D699" s="3" t="s">
        <v>18</v>
      </c>
      <c r="E699" s="3" t="s">
        <v>23</v>
      </c>
      <c r="F699" s="3" t="s">
        <v>54</v>
      </c>
      <c r="G699" s="5">
        <v>58</v>
      </c>
      <c r="H699" s="3" t="s">
        <v>25</v>
      </c>
      <c r="I699" s="3" t="s">
        <v>26</v>
      </c>
      <c r="J699" s="5">
        <v>85157.15</v>
      </c>
    </row>
    <row r="700" spans="1:10" x14ac:dyDescent="0.3">
      <c r="A700" s="3" t="s">
        <v>774</v>
      </c>
      <c r="B700" s="4">
        <v>45795</v>
      </c>
      <c r="C700" s="3" t="s">
        <v>11</v>
      </c>
      <c r="D700" s="3" t="s">
        <v>18</v>
      </c>
      <c r="E700" s="3" t="s">
        <v>39</v>
      </c>
      <c r="F700" s="3" t="s">
        <v>40</v>
      </c>
      <c r="G700" s="5">
        <v>88.38</v>
      </c>
      <c r="H700" s="3" t="s">
        <v>34</v>
      </c>
      <c r="I700" s="3" t="s">
        <v>26</v>
      </c>
      <c r="J700" s="5">
        <v>85068.77</v>
      </c>
    </row>
    <row r="701" spans="1:10" x14ac:dyDescent="0.3">
      <c r="A701" s="3" t="s">
        <v>775</v>
      </c>
      <c r="B701" s="4">
        <v>45797</v>
      </c>
      <c r="C701" s="3" t="s">
        <v>11</v>
      </c>
      <c r="D701" s="3" t="s">
        <v>18</v>
      </c>
      <c r="E701" s="3" t="s">
        <v>23</v>
      </c>
      <c r="F701" s="3" t="s">
        <v>76</v>
      </c>
      <c r="G701" s="5">
        <v>70.790000000000006</v>
      </c>
      <c r="H701" s="3" t="s">
        <v>34</v>
      </c>
      <c r="I701" s="3" t="s">
        <v>26</v>
      </c>
      <c r="J701" s="5">
        <v>84997.98</v>
      </c>
    </row>
    <row r="702" spans="1:10" x14ac:dyDescent="0.3">
      <c r="A702" s="3" t="s">
        <v>776</v>
      </c>
      <c r="B702" s="4">
        <v>45798</v>
      </c>
      <c r="C702" s="3" t="s">
        <v>126</v>
      </c>
      <c r="D702" s="3" t="s">
        <v>12</v>
      </c>
      <c r="E702" s="3" t="s">
        <v>108</v>
      </c>
      <c r="F702" s="3" t="s">
        <v>388</v>
      </c>
      <c r="G702" s="5">
        <v>538.44000000000005</v>
      </c>
      <c r="H702" s="3" t="s">
        <v>110</v>
      </c>
      <c r="I702" s="3" t="s">
        <v>26</v>
      </c>
      <c r="J702" s="5">
        <v>85536.42</v>
      </c>
    </row>
    <row r="703" spans="1:10" x14ac:dyDescent="0.3">
      <c r="A703" s="3" t="s">
        <v>777</v>
      </c>
      <c r="B703" s="4">
        <v>45798</v>
      </c>
      <c r="C703" s="3" t="s">
        <v>36</v>
      </c>
      <c r="D703" s="3" t="s">
        <v>18</v>
      </c>
      <c r="E703" s="3" t="s">
        <v>28</v>
      </c>
      <c r="F703" s="3" t="s">
        <v>117</v>
      </c>
      <c r="G703" s="5">
        <v>53.11</v>
      </c>
      <c r="H703" s="3" t="s">
        <v>34</v>
      </c>
      <c r="I703" s="3" t="s">
        <v>26</v>
      </c>
      <c r="J703" s="5">
        <v>85483.31</v>
      </c>
    </row>
    <row r="704" spans="1:10" x14ac:dyDescent="0.3">
      <c r="A704" s="3" t="s">
        <v>778</v>
      </c>
      <c r="B704" s="4">
        <v>45799</v>
      </c>
      <c r="C704" s="3" t="s">
        <v>36</v>
      </c>
      <c r="D704" s="3" t="s">
        <v>18</v>
      </c>
      <c r="E704" s="3" t="s">
        <v>28</v>
      </c>
      <c r="F704" s="3" t="s">
        <v>52</v>
      </c>
      <c r="G704" s="5">
        <v>34.58</v>
      </c>
      <c r="H704" s="3" t="s">
        <v>30</v>
      </c>
      <c r="I704" s="3" t="s">
        <v>26</v>
      </c>
      <c r="J704" s="5">
        <v>85448.73</v>
      </c>
    </row>
    <row r="705" spans="1:10" x14ac:dyDescent="0.3">
      <c r="A705" s="3" t="s">
        <v>779</v>
      </c>
      <c r="B705" s="4">
        <v>45801</v>
      </c>
      <c r="C705" s="3" t="s">
        <v>11</v>
      </c>
      <c r="D705" s="3" t="s">
        <v>12</v>
      </c>
      <c r="E705" s="3" t="s">
        <v>108</v>
      </c>
      <c r="F705" s="3" t="s">
        <v>109</v>
      </c>
      <c r="G705" s="5">
        <v>1320.76</v>
      </c>
      <c r="H705" s="3" t="s">
        <v>183</v>
      </c>
      <c r="I705" s="3" t="s">
        <v>26</v>
      </c>
      <c r="J705" s="5">
        <v>86769.49</v>
      </c>
    </row>
    <row r="706" spans="1:10" x14ac:dyDescent="0.3">
      <c r="A706" s="3" t="s">
        <v>780</v>
      </c>
      <c r="B706" s="4">
        <v>45801</v>
      </c>
      <c r="C706" s="3" t="s">
        <v>36</v>
      </c>
      <c r="D706" s="3" t="s">
        <v>18</v>
      </c>
      <c r="E706" s="3" t="s">
        <v>23</v>
      </c>
      <c r="F706" s="3" t="s">
        <v>87</v>
      </c>
      <c r="G706" s="5">
        <v>26.53</v>
      </c>
      <c r="H706" s="3" t="s">
        <v>34</v>
      </c>
      <c r="I706" s="3" t="s">
        <v>26</v>
      </c>
      <c r="J706" s="5">
        <v>86742.96</v>
      </c>
    </row>
    <row r="707" spans="1:10" x14ac:dyDescent="0.3">
      <c r="A707" s="3" t="s">
        <v>781</v>
      </c>
      <c r="B707" s="4">
        <v>45801</v>
      </c>
      <c r="C707" s="3" t="s">
        <v>36</v>
      </c>
      <c r="D707" s="3" t="s">
        <v>18</v>
      </c>
      <c r="E707" s="3" t="s">
        <v>39</v>
      </c>
      <c r="F707" s="3" t="s">
        <v>186</v>
      </c>
      <c r="G707" s="5">
        <v>95.73</v>
      </c>
      <c r="H707" s="3" t="s">
        <v>34</v>
      </c>
      <c r="I707" s="3" t="s">
        <v>26</v>
      </c>
      <c r="J707" s="5">
        <v>86647.23</v>
      </c>
    </row>
    <row r="708" spans="1:10" x14ac:dyDescent="0.3">
      <c r="A708" s="3" t="s">
        <v>782</v>
      </c>
      <c r="B708" s="4">
        <v>45802</v>
      </c>
      <c r="C708" s="3" t="s">
        <v>36</v>
      </c>
      <c r="D708" s="3" t="s">
        <v>18</v>
      </c>
      <c r="E708" s="3" t="s">
        <v>47</v>
      </c>
      <c r="F708" s="3" t="s">
        <v>60</v>
      </c>
      <c r="G708" s="5">
        <v>39.630000000000003</v>
      </c>
      <c r="H708" s="3" t="s">
        <v>34</v>
      </c>
      <c r="I708" s="3" t="s">
        <v>26</v>
      </c>
      <c r="J708" s="5">
        <v>86607.6</v>
      </c>
    </row>
    <row r="709" spans="1:10" x14ac:dyDescent="0.3">
      <c r="A709" s="3" t="s">
        <v>783</v>
      </c>
      <c r="B709" s="4">
        <v>45803</v>
      </c>
      <c r="C709" s="3" t="s">
        <v>36</v>
      </c>
      <c r="D709" s="3" t="s">
        <v>18</v>
      </c>
      <c r="E709" s="3" t="s">
        <v>23</v>
      </c>
      <c r="F709" s="3" t="s">
        <v>87</v>
      </c>
      <c r="G709" s="5">
        <v>14.33</v>
      </c>
      <c r="H709" s="3" t="s">
        <v>25</v>
      </c>
      <c r="I709" s="3" t="s">
        <v>26</v>
      </c>
      <c r="J709" s="5">
        <v>86593.27</v>
      </c>
    </row>
    <row r="710" spans="1:10" x14ac:dyDescent="0.3">
      <c r="A710" s="3" t="s">
        <v>784</v>
      </c>
      <c r="B710" s="4">
        <v>45803</v>
      </c>
      <c r="C710" s="3" t="s">
        <v>11</v>
      </c>
      <c r="D710" s="3" t="s">
        <v>18</v>
      </c>
      <c r="E710" s="3" t="s">
        <v>47</v>
      </c>
      <c r="F710" s="3" t="s">
        <v>91</v>
      </c>
      <c r="G710" s="5">
        <v>9.59</v>
      </c>
      <c r="H710" s="3" t="s">
        <v>25</v>
      </c>
      <c r="I710" s="3" t="s">
        <v>26</v>
      </c>
      <c r="J710" s="5">
        <v>86583.679999999993</v>
      </c>
    </row>
    <row r="711" spans="1:10" x14ac:dyDescent="0.3">
      <c r="A711" s="3" t="s">
        <v>785</v>
      </c>
      <c r="B711" s="4">
        <v>45804</v>
      </c>
      <c r="C711" s="3" t="s">
        <v>11</v>
      </c>
      <c r="D711" s="3" t="s">
        <v>18</v>
      </c>
      <c r="E711" s="3" t="s">
        <v>23</v>
      </c>
      <c r="F711" s="3" t="s">
        <v>76</v>
      </c>
      <c r="G711" s="5">
        <v>16.43</v>
      </c>
      <c r="H711" s="3" t="s">
        <v>30</v>
      </c>
      <c r="I711" s="3" t="s">
        <v>26</v>
      </c>
      <c r="J711" s="5">
        <v>86567.25</v>
      </c>
    </row>
    <row r="712" spans="1:10" x14ac:dyDescent="0.3">
      <c r="A712" s="3" t="s">
        <v>786</v>
      </c>
      <c r="B712" s="4">
        <v>45805</v>
      </c>
      <c r="C712" s="3" t="s">
        <v>11</v>
      </c>
      <c r="D712" s="3" t="s">
        <v>18</v>
      </c>
      <c r="E712" s="3" t="s">
        <v>28</v>
      </c>
      <c r="F712" s="3" t="s">
        <v>52</v>
      </c>
      <c r="G712" s="5">
        <v>102.31</v>
      </c>
      <c r="H712" s="3" t="s">
        <v>30</v>
      </c>
      <c r="I712" s="3" t="s">
        <v>26</v>
      </c>
      <c r="J712" s="5">
        <v>86464.94</v>
      </c>
    </row>
    <row r="713" spans="1:10" x14ac:dyDescent="0.3">
      <c r="A713" s="3" t="s">
        <v>787</v>
      </c>
      <c r="B713" s="4">
        <v>45805</v>
      </c>
      <c r="C713" s="3" t="s">
        <v>11</v>
      </c>
      <c r="D713" s="3" t="s">
        <v>18</v>
      </c>
      <c r="E713" s="3" t="s">
        <v>47</v>
      </c>
      <c r="F713" s="3" t="s">
        <v>56</v>
      </c>
      <c r="G713" s="5">
        <v>47.42</v>
      </c>
      <c r="H713" s="3" t="s">
        <v>34</v>
      </c>
      <c r="I713" s="3" t="s">
        <v>26</v>
      </c>
      <c r="J713" s="5">
        <v>86417.52</v>
      </c>
    </row>
    <row r="714" spans="1:10" x14ac:dyDescent="0.3">
      <c r="A714" s="3" t="s">
        <v>788</v>
      </c>
      <c r="B714" s="4">
        <v>45806</v>
      </c>
      <c r="C714" s="3" t="s">
        <v>11</v>
      </c>
      <c r="D714" s="3" t="s">
        <v>18</v>
      </c>
      <c r="E714" s="3" t="s">
        <v>23</v>
      </c>
      <c r="F714" s="3" t="s">
        <v>98</v>
      </c>
      <c r="G714" s="5">
        <v>27.6</v>
      </c>
      <c r="H714" s="3" t="s">
        <v>30</v>
      </c>
      <c r="I714" s="3" t="s">
        <v>26</v>
      </c>
      <c r="J714" s="5">
        <v>86389.92</v>
      </c>
    </row>
    <row r="715" spans="1:10" x14ac:dyDescent="0.3">
      <c r="A715" s="3" t="s">
        <v>789</v>
      </c>
      <c r="B715" s="4">
        <v>45806</v>
      </c>
      <c r="C715" s="3" t="s">
        <v>11</v>
      </c>
      <c r="D715" s="3" t="s">
        <v>18</v>
      </c>
      <c r="E715" s="3" t="s">
        <v>47</v>
      </c>
      <c r="F715" s="3" t="s">
        <v>56</v>
      </c>
      <c r="G715" s="5">
        <v>6.88</v>
      </c>
      <c r="H715" s="3" t="s">
        <v>34</v>
      </c>
      <c r="I715" s="3" t="s">
        <v>26</v>
      </c>
      <c r="J715" s="5">
        <v>86383.039999999994</v>
      </c>
    </row>
    <row r="716" spans="1:10" x14ac:dyDescent="0.3">
      <c r="A716" s="3" t="s">
        <v>790</v>
      </c>
      <c r="B716" s="4">
        <v>45807</v>
      </c>
      <c r="C716" s="3" t="s">
        <v>11</v>
      </c>
      <c r="D716" s="3" t="s">
        <v>18</v>
      </c>
      <c r="E716" s="3" t="s">
        <v>23</v>
      </c>
      <c r="F716" s="3" t="s">
        <v>37</v>
      </c>
      <c r="G716" s="5">
        <v>78.650000000000006</v>
      </c>
      <c r="H716" s="3" t="s">
        <v>25</v>
      </c>
      <c r="I716" s="3" t="s">
        <v>26</v>
      </c>
      <c r="J716" s="5">
        <v>86304.39</v>
      </c>
    </row>
    <row r="717" spans="1:10" x14ac:dyDescent="0.3">
      <c r="A717" s="3" t="s">
        <v>791</v>
      </c>
      <c r="B717" s="4">
        <v>45808</v>
      </c>
      <c r="C717" s="3" t="s">
        <v>11</v>
      </c>
      <c r="D717" s="3" t="s">
        <v>18</v>
      </c>
      <c r="E717" s="3" t="s">
        <v>28</v>
      </c>
      <c r="F717" s="3" t="s">
        <v>29</v>
      </c>
      <c r="G717" s="5">
        <v>130.65</v>
      </c>
      <c r="H717" s="3" t="s">
        <v>30</v>
      </c>
      <c r="I717" s="3" t="s">
        <v>26</v>
      </c>
      <c r="J717" s="5">
        <v>86173.74</v>
      </c>
    </row>
    <row r="718" spans="1:10" x14ac:dyDescent="0.3">
      <c r="A718" s="3" t="s">
        <v>792</v>
      </c>
      <c r="B718" s="4">
        <v>45809</v>
      </c>
      <c r="C718" s="3" t="s">
        <v>11</v>
      </c>
      <c r="D718" s="3" t="s">
        <v>12</v>
      </c>
      <c r="E718" s="3" t="s">
        <v>13</v>
      </c>
      <c r="F718" s="3" t="s">
        <v>239</v>
      </c>
      <c r="G718" s="5">
        <v>5246.62</v>
      </c>
      <c r="H718" s="3" t="s">
        <v>15</v>
      </c>
      <c r="I718" s="3" t="s">
        <v>16</v>
      </c>
      <c r="J718" s="5">
        <v>91420.36</v>
      </c>
    </row>
    <row r="719" spans="1:10" x14ac:dyDescent="0.3">
      <c r="A719" s="3" t="s">
        <v>793</v>
      </c>
      <c r="B719" s="4">
        <v>45809</v>
      </c>
      <c r="C719" s="3" t="s">
        <v>11</v>
      </c>
      <c r="D719" s="3" t="s">
        <v>18</v>
      </c>
      <c r="E719" s="3" t="s">
        <v>19</v>
      </c>
      <c r="F719" s="3" t="s">
        <v>20</v>
      </c>
      <c r="G719" s="5">
        <v>1551.7</v>
      </c>
      <c r="H719" s="3" t="s">
        <v>21</v>
      </c>
      <c r="I719" s="3" t="s">
        <v>16</v>
      </c>
      <c r="J719" s="5">
        <v>89868.66</v>
      </c>
    </row>
    <row r="720" spans="1:10" x14ac:dyDescent="0.3">
      <c r="A720" s="3" t="s">
        <v>794</v>
      </c>
      <c r="B720" s="4">
        <v>45812</v>
      </c>
      <c r="C720" s="3" t="s">
        <v>11</v>
      </c>
      <c r="D720" s="3" t="s">
        <v>18</v>
      </c>
      <c r="E720" s="3" t="s">
        <v>28</v>
      </c>
      <c r="F720" s="3" t="s">
        <v>29</v>
      </c>
      <c r="G720" s="5">
        <v>39.549999999999997</v>
      </c>
      <c r="H720" s="3" t="s">
        <v>30</v>
      </c>
      <c r="I720" s="3" t="s">
        <v>26</v>
      </c>
      <c r="J720" s="5">
        <v>89829.11</v>
      </c>
    </row>
    <row r="721" spans="1:10" x14ac:dyDescent="0.3">
      <c r="A721" s="3" t="s">
        <v>795</v>
      </c>
      <c r="B721" s="4">
        <v>45812</v>
      </c>
      <c r="C721" s="3" t="s">
        <v>36</v>
      </c>
      <c r="D721" s="3" t="s">
        <v>18</v>
      </c>
      <c r="E721" s="3" t="s">
        <v>23</v>
      </c>
      <c r="F721" s="3" t="s">
        <v>98</v>
      </c>
      <c r="G721" s="5">
        <v>45</v>
      </c>
      <c r="H721" s="3" t="s">
        <v>34</v>
      </c>
      <c r="I721" s="3" t="s">
        <v>26</v>
      </c>
      <c r="J721" s="5">
        <v>89784.11</v>
      </c>
    </row>
    <row r="722" spans="1:10" x14ac:dyDescent="0.3">
      <c r="A722" s="3" t="s">
        <v>796</v>
      </c>
      <c r="B722" s="4">
        <v>45812</v>
      </c>
      <c r="C722" s="3" t="s">
        <v>36</v>
      </c>
      <c r="D722" s="3" t="s">
        <v>18</v>
      </c>
      <c r="E722" s="3" t="s">
        <v>39</v>
      </c>
      <c r="F722" s="3" t="s">
        <v>40</v>
      </c>
      <c r="G722" s="5">
        <v>84.68</v>
      </c>
      <c r="H722" s="3" t="s">
        <v>34</v>
      </c>
      <c r="I722" s="3" t="s">
        <v>26</v>
      </c>
      <c r="J722" s="5">
        <v>89699.43</v>
      </c>
    </row>
    <row r="723" spans="1:10" x14ac:dyDescent="0.3">
      <c r="A723" s="3" t="s">
        <v>797</v>
      </c>
      <c r="B723" s="4">
        <v>45813</v>
      </c>
      <c r="C723" s="3" t="s">
        <v>11</v>
      </c>
      <c r="D723" s="3" t="s">
        <v>18</v>
      </c>
      <c r="E723" s="3" t="s">
        <v>28</v>
      </c>
      <c r="F723" s="3" t="s">
        <v>79</v>
      </c>
      <c r="G723" s="5">
        <v>178.53</v>
      </c>
      <c r="H723" s="3" t="s">
        <v>34</v>
      </c>
      <c r="I723" s="3" t="s">
        <v>26</v>
      </c>
      <c r="J723" s="5">
        <v>89520.9</v>
      </c>
    </row>
    <row r="724" spans="1:10" x14ac:dyDescent="0.3">
      <c r="A724" s="3" t="s">
        <v>798</v>
      </c>
      <c r="B724" s="4">
        <v>45813</v>
      </c>
      <c r="C724" s="3" t="s">
        <v>11</v>
      </c>
      <c r="D724" s="3" t="s">
        <v>18</v>
      </c>
      <c r="E724" s="3" t="s">
        <v>23</v>
      </c>
      <c r="F724" s="3" t="s">
        <v>24</v>
      </c>
      <c r="G724" s="5">
        <v>35.32</v>
      </c>
      <c r="H724" s="3" t="s">
        <v>25</v>
      </c>
      <c r="I724" s="3" t="s">
        <v>26</v>
      </c>
      <c r="J724" s="5">
        <v>89485.58</v>
      </c>
    </row>
    <row r="725" spans="1:10" x14ac:dyDescent="0.3">
      <c r="A725" s="3" t="s">
        <v>799</v>
      </c>
      <c r="B725" s="4">
        <v>45814</v>
      </c>
      <c r="C725" s="3" t="s">
        <v>36</v>
      </c>
      <c r="D725" s="3" t="s">
        <v>18</v>
      </c>
      <c r="E725" s="3" t="s">
        <v>23</v>
      </c>
      <c r="F725" s="3" t="s">
        <v>76</v>
      </c>
      <c r="G725" s="5">
        <v>79.63</v>
      </c>
      <c r="H725" s="3" t="s">
        <v>34</v>
      </c>
      <c r="I725" s="3" t="s">
        <v>26</v>
      </c>
      <c r="J725" s="5">
        <v>89405.95</v>
      </c>
    </row>
    <row r="726" spans="1:10" x14ac:dyDescent="0.3">
      <c r="A726" s="3" t="s">
        <v>800</v>
      </c>
      <c r="B726" s="4">
        <v>45815</v>
      </c>
      <c r="C726" s="3" t="s">
        <v>36</v>
      </c>
      <c r="D726" s="3" t="s">
        <v>18</v>
      </c>
      <c r="E726" s="3" t="s">
        <v>47</v>
      </c>
      <c r="F726" s="3" t="s">
        <v>106</v>
      </c>
      <c r="G726" s="5">
        <v>56.77</v>
      </c>
      <c r="H726" s="3" t="s">
        <v>34</v>
      </c>
      <c r="I726" s="3" t="s">
        <v>26</v>
      </c>
      <c r="J726" s="5">
        <v>89349.18</v>
      </c>
    </row>
    <row r="727" spans="1:10" x14ac:dyDescent="0.3">
      <c r="A727" s="3" t="s">
        <v>801</v>
      </c>
      <c r="B727" s="4">
        <v>45818</v>
      </c>
      <c r="C727" s="3" t="s">
        <v>11</v>
      </c>
      <c r="D727" s="3" t="s">
        <v>18</v>
      </c>
      <c r="E727" s="3" t="s">
        <v>43</v>
      </c>
      <c r="F727" s="3" t="s">
        <v>151</v>
      </c>
      <c r="G727" s="5">
        <v>60.15</v>
      </c>
      <c r="H727" s="3" t="s">
        <v>21</v>
      </c>
      <c r="I727" s="3" t="s">
        <v>16</v>
      </c>
      <c r="J727" s="5">
        <v>89289.03</v>
      </c>
    </row>
    <row r="728" spans="1:10" x14ac:dyDescent="0.3">
      <c r="A728" s="3" t="s">
        <v>802</v>
      </c>
      <c r="B728" s="4">
        <v>45818</v>
      </c>
      <c r="C728" s="3" t="s">
        <v>36</v>
      </c>
      <c r="D728" s="3" t="s">
        <v>18</v>
      </c>
      <c r="E728" s="3" t="s">
        <v>23</v>
      </c>
      <c r="F728" s="3" t="s">
        <v>98</v>
      </c>
      <c r="G728" s="5">
        <v>58.85</v>
      </c>
      <c r="H728" s="3" t="s">
        <v>30</v>
      </c>
      <c r="I728" s="3" t="s">
        <v>26</v>
      </c>
      <c r="J728" s="5">
        <v>89230.18</v>
      </c>
    </row>
    <row r="729" spans="1:10" x14ac:dyDescent="0.3">
      <c r="A729" s="3" t="s">
        <v>803</v>
      </c>
      <c r="B729" s="4">
        <v>45818</v>
      </c>
      <c r="C729" s="3" t="s">
        <v>36</v>
      </c>
      <c r="D729" s="3" t="s">
        <v>18</v>
      </c>
      <c r="E729" s="3" t="s">
        <v>47</v>
      </c>
      <c r="F729" s="3" t="s">
        <v>56</v>
      </c>
      <c r="G729" s="5">
        <v>49.09</v>
      </c>
      <c r="H729" s="3" t="s">
        <v>30</v>
      </c>
      <c r="I729" s="3" t="s">
        <v>26</v>
      </c>
      <c r="J729" s="5">
        <v>89181.09</v>
      </c>
    </row>
    <row r="730" spans="1:10" x14ac:dyDescent="0.3">
      <c r="A730" s="3" t="s">
        <v>804</v>
      </c>
      <c r="B730" s="4">
        <v>45819</v>
      </c>
      <c r="C730" s="3" t="s">
        <v>36</v>
      </c>
      <c r="D730" s="3" t="s">
        <v>18</v>
      </c>
      <c r="E730" s="3" t="s">
        <v>47</v>
      </c>
      <c r="F730" s="3" t="s">
        <v>91</v>
      </c>
      <c r="G730" s="5">
        <v>11.5</v>
      </c>
      <c r="H730" s="3" t="s">
        <v>25</v>
      </c>
      <c r="I730" s="3" t="s">
        <v>26</v>
      </c>
      <c r="J730" s="5">
        <v>89169.59</v>
      </c>
    </row>
    <row r="731" spans="1:10" x14ac:dyDescent="0.3">
      <c r="A731" s="3" t="s">
        <v>805</v>
      </c>
      <c r="B731" s="4">
        <v>45820</v>
      </c>
      <c r="C731" s="3" t="s">
        <v>11</v>
      </c>
      <c r="D731" s="3" t="s">
        <v>18</v>
      </c>
      <c r="E731" s="3" t="s">
        <v>23</v>
      </c>
      <c r="F731" s="3" t="s">
        <v>124</v>
      </c>
      <c r="G731" s="5">
        <v>28.27</v>
      </c>
      <c r="H731" s="3" t="s">
        <v>34</v>
      </c>
      <c r="I731" s="3" t="s">
        <v>26</v>
      </c>
      <c r="J731" s="5">
        <v>89141.32</v>
      </c>
    </row>
    <row r="732" spans="1:10" x14ac:dyDescent="0.3">
      <c r="A732" s="3" t="s">
        <v>806</v>
      </c>
      <c r="B732" s="4">
        <v>45820</v>
      </c>
      <c r="C732" s="3" t="s">
        <v>11</v>
      </c>
      <c r="D732" s="3" t="s">
        <v>18</v>
      </c>
      <c r="E732" s="3" t="s">
        <v>47</v>
      </c>
      <c r="F732" s="3" t="s">
        <v>69</v>
      </c>
      <c r="G732" s="5">
        <v>50.99</v>
      </c>
      <c r="H732" s="3" t="s">
        <v>30</v>
      </c>
      <c r="I732" s="3" t="s">
        <v>26</v>
      </c>
      <c r="J732" s="5">
        <v>89090.33</v>
      </c>
    </row>
    <row r="733" spans="1:10" x14ac:dyDescent="0.3">
      <c r="A733" s="3" t="s">
        <v>807</v>
      </c>
      <c r="B733" s="4">
        <v>45821</v>
      </c>
      <c r="C733" s="3" t="s">
        <v>36</v>
      </c>
      <c r="D733" s="3" t="s">
        <v>18</v>
      </c>
      <c r="E733" s="3" t="s">
        <v>23</v>
      </c>
      <c r="F733" s="3" t="s">
        <v>98</v>
      </c>
      <c r="G733" s="5">
        <v>31.04</v>
      </c>
      <c r="H733" s="3" t="s">
        <v>34</v>
      </c>
      <c r="I733" s="3" t="s">
        <v>26</v>
      </c>
      <c r="J733" s="5">
        <v>89059.29</v>
      </c>
    </row>
    <row r="734" spans="1:10" x14ac:dyDescent="0.3">
      <c r="A734" s="3" t="s">
        <v>808</v>
      </c>
      <c r="B734" s="4">
        <v>45821</v>
      </c>
      <c r="C734" s="3" t="s">
        <v>36</v>
      </c>
      <c r="D734" s="3" t="s">
        <v>18</v>
      </c>
      <c r="E734" s="3" t="s">
        <v>39</v>
      </c>
      <c r="F734" s="3" t="s">
        <v>170</v>
      </c>
      <c r="G734" s="5">
        <v>68.25</v>
      </c>
      <c r="H734" s="3" t="s">
        <v>30</v>
      </c>
      <c r="I734" s="3" t="s">
        <v>26</v>
      </c>
      <c r="J734" s="5">
        <v>88991.039999999994</v>
      </c>
    </row>
    <row r="735" spans="1:10" x14ac:dyDescent="0.3">
      <c r="A735" s="3" t="s">
        <v>809</v>
      </c>
      <c r="B735" s="4">
        <v>45822</v>
      </c>
      <c r="C735" s="3" t="s">
        <v>11</v>
      </c>
      <c r="D735" s="3" t="s">
        <v>18</v>
      </c>
      <c r="E735" s="3" t="s">
        <v>23</v>
      </c>
      <c r="F735" s="3" t="s">
        <v>32</v>
      </c>
      <c r="G735" s="5">
        <v>42.69</v>
      </c>
      <c r="H735" s="3" t="s">
        <v>30</v>
      </c>
      <c r="I735" s="3" t="s">
        <v>26</v>
      </c>
      <c r="J735" s="5">
        <v>88948.35</v>
      </c>
    </row>
    <row r="736" spans="1:10" x14ac:dyDescent="0.3">
      <c r="A736" s="3" t="s">
        <v>810</v>
      </c>
      <c r="B736" s="4">
        <v>45823</v>
      </c>
      <c r="C736" s="3" t="s">
        <v>11</v>
      </c>
      <c r="D736" s="3" t="s">
        <v>12</v>
      </c>
      <c r="E736" s="3" t="s">
        <v>13</v>
      </c>
      <c r="F736" s="3" t="s">
        <v>239</v>
      </c>
      <c r="G736" s="5">
        <v>4612.0600000000004</v>
      </c>
      <c r="H736" s="3" t="s">
        <v>15</v>
      </c>
      <c r="I736" s="3" t="s">
        <v>16</v>
      </c>
      <c r="J736" s="5">
        <v>93560.41</v>
      </c>
    </row>
    <row r="737" spans="1:10" x14ac:dyDescent="0.3">
      <c r="A737" s="3" t="s">
        <v>811</v>
      </c>
      <c r="B737" s="4">
        <v>45823</v>
      </c>
      <c r="C737" s="3" t="s">
        <v>36</v>
      </c>
      <c r="D737" s="3" t="s">
        <v>18</v>
      </c>
      <c r="E737" s="3" t="s">
        <v>28</v>
      </c>
      <c r="F737" s="3" t="s">
        <v>114</v>
      </c>
      <c r="G737" s="5">
        <v>123.16</v>
      </c>
      <c r="H737" s="3" t="s">
        <v>30</v>
      </c>
      <c r="I737" s="3" t="s">
        <v>26</v>
      </c>
      <c r="J737" s="5">
        <v>93437.25</v>
      </c>
    </row>
    <row r="738" spans="1:10" x14ac:dyDescent="0.3">
      <c r="A738" s="3" t="s">
        <v>812</v>
      </c>
      <c r="B738" s="4">
        <v>45823</v>
      </c>
      <c r="C738" s="3" t="s">
        <v>11</v>
      </c>
      <c r="D738" s="3" t="s">
        <v>18</v>
      </c>
      <c r="E738" s="3" t="s">
        <v>23</v>
      </c>
      <c r="F738" s="3" t="s">
        <v>37</v>
      </c>
      <c r="G738" s="5">
        <v>60.46</v>
      </c>
      <c r="H738" s="3" t="s">
        <v>34</v>
      </c>
      <c r="I738" s="3" t="s">
        <v>26</v>
      </c>
      <c r="J738" s="5">
        <v>93376.79</v>
      </c>
    </row>
    <row r="739" spans="1:10" x14ac:dyDescent="0.3">
      <c r="A739" s="3" t="s">
        <v>813</v>
      </c>
      <c r="B739" s="4">
        <v>45823</v>
      </c>
      <c r="C739" s="3" t="s">
        <v>36</v>
      </c>
      <c r="D739" s="3" t="s">
        <v>18</v>
      </c>
      <c r="E739" s="3" t="s">
        <v>39</v>
      </c>
      <c r="F739" s="3" t="s">
        <v>170</v>
      </c>
      <c r="G739" s="5">
        <v>48.09</v>
      </c>
      <c r="H739" s="3" t="s">
        <v>30</v>
      </c>
      <c r="I739" s="3" t="s">
        <v>26</v>
      </c>
      <c r="J739" s="5">
        <v>93328.7</v>
      </c>
    </row>
    <row r="740" spans="1:10" x14ac:dyDescent="0.3">
      <c r="A740" s="3" t="s">
        <v>814</v>
      </c>
      <c r="B740" s="4">
        <v>45825</v>
      </c>
      <c r="C740" s="3" t="s">
        <v>126</v>
      </c>
      <c r="D740" s="3" t="s">
        <v>12</v>
      </c>
      <c r="E740" s="3" t="s">
        <v>108</v>
      </c>
      <c r="F740" s="3" t="s">
        <v>354</v>
      </c>
      <c r="G740" s="5">
        <v>846.67</v>
      </c>
      <c r="H740" s="3" t="s">
        <v>183</v>
      </c>
      <c r="I740" s="3" t="s">
        <v>26</v>
      </c>
      <c r="J740" s="5">
        <v>94175.37</v>
      </c>
    </row>
    <row r="741" spans="1:10" x14ac:dyDescent="0.3">
      <c r="A741" s="3" t="s">
        <v>815</v>
      </c>
      <c r="B741" s="4">
        <v>45825</v>
      </c>
      <c r="C741" s="3" t="s">
        <v>11</v>
      </c>
      <c r="D741" s="3" t="s">
        <v>18</v>
      </c>
      <c r="E741" s="3" t="s">
        <v>23</v>
      </c>
      <c r="F741" s="3" t="s">
        <v>32</v>
      </c>
      <c r="G741" s="5">
        <v>75.38</v>
      </c>
      <c r="H741" s="3" t="s">
        <v>34</v>
      </c>
      <c r="I741" s="3" t="s">
        <v>26</v>
      </c>
      <c r="J741" s="5">
        <v>94099.99</v>
      </c>
    </row>
    <row r="742" spans="1:10" x14ac:dyDescent="0.3">
      <c r="A742" s="3" t="s">
        <v>816</v>
      </c>
      <c r="B742" s="4">
        <v>45826</v>
      </c>
      <c r="C742" s="3" t="s">
        <v>11</v>
      </c>
      <c r="D742" s="3" t="s">
        <v>12</v>
      </c>
      <c r="E742" s="3" t="s">
        <v>108</v>
      </c>
      <c r="F742" s="3" t="s">
        <v>388</v>
      </c>
      <c r="G742" s="5">
        <v>351.96</v>
      </c>
      <c r="H742" s="3" t="s">
        <v>110</v>
      </c>
      <c r="I742" s="3" t="s">
        <v>26</v>
      </c>
      <c r="J742" s="5">
        <v>94451.95</v>
      </c>
    </row>
    <row r="743" spans="1:10" x14ac:dyDescent="0.3">
      <c r="A743" s="3" t="s">
        <v>817</v>
      </c>
      <c r="B743" s="4">
        <v>45826</v>
      </c>
      <c r="C743" s="3" t="s">
        <v>11</v>
      </c>
      <c r="D743" s="3" t="s">
        <v>18</v>
      </c>
      <c r="E743" s="3" t="s">
        <v>23</v>
      </c>
      <c r="F743" s="3" t="s">
        <v>54</v>
      </c>
      <c r="G743" s="5">
        <v>65.900000000000006</v>
      </c>
      <c r="H743" s="3" t="s">
        <v>30</v>
      </c>
      <c r="I743" s="3" t="s">
        <v>26</v>
      </c>
      <c r="J743" s="5">
        <v>94386.05</v>
      </c>
    </row>
    <row r="744" spans="1:10" x14ac:dyDescent="0.3">
      <c r="A744" s="3" t="s">
        <v>818</v>
      </c>
      <c r="B744" s="4">
        <v>45828</v>
      </c>
      <c r="C744" s="3" t="s">
        <v>11</v>
      </c>
      <c r="D744" s="3" t="s">
        <v>18</v>
      </c>
      <c r="E744" s="3" t="s">
        <v>28</v>
      </c>
      <c r="F744" s="3" t="s">
        <v>58</v>
      </c>
      <c r="G744" s="5">
        <v>77.41</v>
      </c>
      <c r="H744" s="3" t="s">
        <v>30</v>
      </c>
      <c r="I744" s="3" t="s">
        <v>26</v>
      </c>
      <c r="J744" s="5">
        <v>94308.64</v>
      </c>
    </row>
    <row r="745" spans="1:10" x14ac:dyDescent="0.3">
      <c r="A745" s="3" t="s">
        <v>819</v>
      </c>
      <c r="B745" s="4">
        <v>45828</v>
      </c>
      <c r="C745" s="3" t="s">
        <v>11</v>
      </c>
      <c r="D745" s="3" t="s">
        <v>18</v>
      </c>
      <c r="E745" s="3" t="s">
        <v>47</v>
      </c>
      <c r="F745" s="3" t="s">
        <v>60</v>
      </c>
      <c r="G745" s="5">
        <v>36.020000000000003</v>
      </c>
      <c r="H745" s="3" t="s">
        <v>25</v>
      </c>
      <c r="I745" s="3" t="s">
        <v>26</v>
      </c>
      <c r="J745" s="5">
        <v>94272.62</v>
      </c>
    </row>
    <row r="746" spans="1:10" x14ac:dyDescent="0.3">
      <c r="A746" s="3" t="s">
        <v>820</v>
      </c>
      <c r="B746" s="4">
        <v>45830</v>
      </c>
      <c r="C746" s="3" t="s">
        <v>36</v>
      </c>
      <c r="D746" s="3" t="s">
        <v>18</v>
      </c>
      <c r="E746" s="3" t="s">
        <v>23</v>
      </c>
      <c r="F746" s="3" t="s">
        <v>24</v>
      </c>
      <c r="G746" s="5">
        <v>64.41</v>
      </c>
      <c r="H746" s="3" t="s">
        <v>34</v>
      </c>
      <c r="I746" s="3" t="s">
        <v>26</v>
      </c>
      <c r="J746" s="5">
        <v>94208.21</v>
      </c>
    </row>
    <row r="747" spans="1:10" x14ac:dyDescent="0.3">
      <c r="A747" s="3" t="s">
        <v>821</v>
      </c>
      <c r="B747" s="4">
        <v>45831</v>
      </c>
      <c r="C747" s="3" t="s">
        <v>11</v>
      </c>
      <c r="D747" s="3" t="s">
        <v>18</v>
      </c>
      <c r="E747" s="3" t="s">
        <v>23</v>
      </c>
      <c r="F747" s="3" t="s">
        <v>54</v>
      </c>
      <c r="G747" s="5">
        <v>58.36</v>
      </c>
      <c r="H747" s="3" t="s">
        <v>30</v>
      </c>
      <c r="I747" s="3" t="s">
        <v>26</v>
      </c>
      <c r="J747" s="5">
        <v>94149.85</v>
      </c>
    </row>
    <row r="748" spans="1:10" x14ac:dyDescent="0.3">
      <c r="A748" s="3" t="s">
        <v>822</v>
      </c>
      <c r="B748" s="4">
        <v>45831</v>
      </c>
      <c r="C748" s="3" t="s">
        <v>36</v>
      </c>
      <c r="D748" s="3" t="s">
        <v>18</v>
      </c>
      <c r="E748" s="3" t="s">
        <v>47</v>
      </c>
      <c r="F748" s="3" t="s">
        <v>82</v>
      </c>
      <c r="G748" s="5">
        <v>55.39</v>
      </c>
      <c r="H748" s="3" t="s">
        <v>25</v>
      </c>
      <c r="I748" s="3" t="s">
        <v>26</v>
      </c>
      <c r="J748" s="5">
        <v>94094.46</v>
      </c>
    </row>
    <row r="749" spans="1:10" x14ac:dyDescent="0.3">
      <c r="A749" s="3" t="s">
        <v>823</v>
      </c>
      <c r="B749" s="4">
        <v>45832</v>
      </c>
      <c r="C749" s="3" t="s">
        <v>11</v>
      </c>
      <c r="D749" s="3" t="s">
        <v>18</v>
      </c>
      <c r="E749" s="3" t="s">
        <v>23</v>
      </c>
      <c r="F749" s="3" t="s">
        <v>124</v>
      </c>
      <c r="G749" s="5">
        <v>46.77</v>
      </c>
      <c r="H749" s="3" t="s">
        <v>25</v>
      </c>
      <c r="I749" s="3" t="s">
        <v>26</v>
      </c>
      <c r="J749" s="5">
        <v>94047.69</v>
      </c>
    </row>
    <row r="750" spans="1:10" x14ac:dyDescent="0.3">
      <c r="A750" s="3" t="s">
        <v>824</v>
      </c>
      <c r="B750" s="4">
        <v>45833</v>
      </c>
      <c r="C750" s="3" t="s">
        <v>11</v>
      </c>
      <c r="D750" s="3" t="s">
        <v>18</v>
      </c>
      <c r="E750" s="3" t="s">
        <v>23</v>
      </c>
      <c r="F750" s="3" t="s">
        <v>124</v>
      </c>
      <c r="G750" s="5">
        <v>60</v>
      </c>
      <c r="H750" s="3" t="s">
        <v>25</v>
      </c>
      <c r="I750" s="3" t="s">
        <v>26</v>
      </c>
      <c r="J750" s="5">
        <v>93987.69</v>
      </c>
    </row>
    <row r="751" spans="1:10" x14ac:dyDescent="0.3">
      <c r="A751" s="3" t="s">
        <v>825</v>
      </c>
      <c r="B751" s="4">
        <v>45834</v>
      </c>
      <c r="C751" s="3" t="s">
        <v>36</v>
      </c>
      <c r="D751" s="3" t="s">
        <v>18</v>
      </c>
      <c r="E751" s="3" t="s">
        <v>23</v>
      </c>
      <c r="F751" s="3" t="s">
        <v>135</v>
      </c>
      <c r="G751" s="5">
        <v>73.94</v>
      </c>
      <c r="H751" s="3" t="s">
        <v>25</v>
      </c>
      <c r="I751" s="3" t="s">
        <v>26</v>
      </c>
      <c r="J751" s="5">
        <v>93913.75</v>
      </c>
    </row>
    <row r="752" spans="1:10" x14ac:dyDescent="0.3">
      <c r="A752" s="3" t="s">
        <v>826</v>
      </c>
      <c r="B752" s="4">
        <v>45834</v>
      </c>
      <c r="C752" s="3" t="s">
        <v>36</v>
      </c>
      <c r="D752" s="3" t="s">
        <v>18</v>
      </c>
      <c r="E752" s="3" t="s">
        <v>47</v>
      </c>
      <c r="F752" s="3" t="s">
        <v>69</v>
      </c>
      <c r="G752" s="5">
        <v>31.88</v>
      </c>
      <c r="H752" s="3" t="s">
        <v>25</v>
      </c>
      <c r="I752" s="3" t="s">
        <v>26</v>
      </c>
      <c r="J752" s="5">
        <v>93881.87</v>
      </c>
    </row>
    <row r="753" spans="1:10" x14ac:dyDescent="0.3">
      <c r="A753" s="3" t="s">
        <v>827</v>
      </c>
      <c r="B753" s="4">
        <v>45835</v>
      </c>
      <c r="C753" s="3" t="s">
        <v>11</v>
      </c>
      <c r="D753" s="3" t="s">
        <v>18</v>
      </c>
      <c r="E753" s="3" t="s">
        <v>28</v>
      </c>
      <c r="F753" s="3" t="s">
        <v>29</v>
      </c>
      <c r="G753" s="5">
        <v>102.33</v>
      </c>
      <c r="H753" s="3" t="s">
        <v>30</v>
      </c>
      <c r="I753" s="3" t="s">
        <v>26</v>
      </c>
      <c r="J753" s="5">
        <v>93779.54</v>
      </c>
    </row>
    <row r="754" spans="1:10" x14ac:dyDescent="0.3">
      <c r="A754" s="3" t="s">
        <v>828</v>
      </c>
      <c r="B754" s="4">
        <v>45836</v>
      </c>
      <c r="C754" s="3" t="s">
        <v>11</v>
      </c>
      <c r="D754" s="3" t="s">
        <v>18</v>
      </c>
      <c r="E754" s="3" t="s">
        <v>23</v>
      </c>
      <c r="F754" s="3" t="s">
        <v>32</v>
      </c>
      <c r="G754" s="5">
        <v>15.3</v>
      </c>
      <c r="H754" s="3" t="s">
        <v>34</v>
      </c>
      <c r="I754" s="3" t="s">
        <v>26</v>
      </c>
      <c r="J754" s="5">
        <v>93764.24</v>
      </c>
    </row>
    <row r="755" spans="1:10" x14ac:dyDescent="0.3">
      <c r="A755" s="3" t="s">
        <v>829</v>
      </c>
      <c r="B755" s="4">
        <v>45836</v>
      </c>
      <c r="C755" s="3" t="s">
        <v>36</v>
      </c>
      <c r="D755" s="3" t="s">
        <v>18</v>
      </c>
      <c r="E755" s="3" t="s">
        <v>47</v>
      </c>
      <c r="F755" s="3" t="s">
        <v>106</v>
      </c>
      <c r="G755" s="5">
        <v>39.340000000000003</v>
      </c>
      <c r="H755" s="3" t="s">
        <v>30</v>
      </c>
      <c r="I755" s="3" t="s">
        <v>26</v>
      </c>
      <c r="J755" s="5">
        <v>93724.9</v>
      </c>
    </row>
    <row r="756" spans="1:10" x14ac:dyDescent="0.3">
      <c r="A756" s="3" t="s">
        <v>830</v>
      </c>
      <c r="B756" s="4">
        <v>45837</v>
      </c>
      <c r="C756" s="3" t="s">
        <v>126</v>
      </c>
      <c r="D756" s="3" t="s">
        <v>12</v>
      </c>
      <c r="E756" s="3" t="s">
        <v>108</v>
      </c>
      <c r="F756" s="3" t="s">
        <v>388</v>
      </c>
      <c r="G756" s="5">
        <v>1071.47</v>
      </c>
      <c r="H756" s="3" t="s">
        <v>110</v>
      </c>
      <c r="I756" s="3" t="s">
        <v>26</v>
      </c>
      <c r="J756" s="5">
        <v>94796.37</v>
      </c>
    </row>
    <row r="757" spans="1:10" x14ac:dyDescent="0.3">
      <c r="A757" s="3" t="s">
        <v>831</v>
      </c>
      <c r="B757" s="4">
        <v>45837</v>
      </c>
      <c r="C757" s="3" t="s">
        <v>11</v>
      </c>
      <c r="D757" s="3" t="s">
        <v>18</v>
      </c>
      <c r="E757" s="3" t="s">
        <v>47</v>
      </c>
      <c r="F757" s="3" t="s">
        <v>56</v>
      </c>
      <c r="G757" s="5">
        <v>47.02</v>
      </c>
      <c r="H757" s="3" t="s">
        <v>34</v>
      </c>
      <c r="I757" s="3" t="s">
        <v>26</v>
      </c>
      <c r="J757" s="5">
        <v>94749.35</v>
      </c>
    </row>
    <row r="758" spans="1:10" x14ac:dyDescent="0.3">
      <c r="A758" s="3" t="s">
        <v>832</v>
      </c>
      <c r="B758" s="4">
        <v>45838</v>
      </c>
      <c r="C758" s="3" t="s">
        <v>36</v>
      </c>
      <c r="D758" s="3" t="s">
        <v>18</v>
      </c>
      <c r="E758" s="3" t="s">
        <v>47</v>
      </c>
      <c r="F758" s="3" t="s">
        <v>56</v>
      </c>
      <c r="G758" s="5">
        <v>37.799999999999997</v>
      </c>
      <c r="H758" s="3" t="s">
        <v>25</v>
      </c>
      <c r="I758" s="3" t="s">
        <v>26</v>
      </c>
      <c r="J758" s="5">
        <v>94711.55</v>
      </c>
    </row>
    <row r="759" spans="1:10" x14ac:dyDescent="0.3">
      <c r="A759" s="3" t="s">
        <v>833</v>
      </c>
      <c r="B759" s="4">
        <v>45839</v>
      </c>
      <c r="C759" s="3" t="s">
        <v>11</v>
      </c>
      <c r="D759" s="3" t="s">
        <v>12</v>
      </c>
      <c r="E759" s="3" t="s">
        <v>13</v>
      </c>
      <c r="F759" s="3" t="s">
        <v>239</v>
      </c>
      <c r="G759" s="5">
        <v>4675.22</v>
      </c>
      <c r="H759" s="3" t="s">
        <v>15</v>
      </c>
      <c r="I759" s="3" t="s">
        <v>16</v>
      </c>
      <c r="J759" s="5">
        <v>99386.77</v>
      </c>
    </row>
    <row r="760" spans="1:10" x14ac:dyDescent="0.3">
      <c r="A760" s="3" t="s">
        <v>834</v>
      </c>
      <c r="B760" s="4">
        <v>45839</v>
      </c>
      <c r="C760" s="3" t="s">
        <v>11</v>
      </c>
      <c r="D760" s="3" t="s">
        <v>18</v>
      </c>
      <c r="E760" s="3" t="s">
        <v>19</v>
      </c>
      <c r="F760" s="3" t="s">
        <v>191</v>
      </c>
      <c r="G760" s="5">
        <v>1966.91</v>
      </c>
      <c r="H760" s="3" t="s">
        <v>21</v>
      </c>
      <c r="I760" s="3" t="s">
        <v>16</v>
      </c>
      <c r="J760" s="5">
        <v>97419.86</v>
      </c>
    </row>
    <row r="761" spans="1:10" x14ac:dyDescent="0.3">
      <c r="A761" s="3" t="s">
        <v>835</v>
      </c>
      <c r="B761" s="4">
        <v>45840</v>
      </c>
      <c r="C761" s="3" t="s">
        <v>11</v>
      </c>
      <c r="D761" s="3" t="s">
        <v>18</v>
      </c>
      <c r="E761" s="3" t="s">
        <v>23</v>
      </c>
      <c r="F761" s="3" t="s">
        <v>87</v>
      </c>
      <c r="G761" s="5">
        <v>32.06</v>
      </c>
      <c r="H761" s="3" t="s">
        <v>30</v>
      </c>
      <c r="I761" s="3" t="s">
        <v>26</v>
      </c>
      <c r="J761" s="5">
        <v>97387.8</v>
      </c>
    </row>
    <row r="762" spans="1:10" x14ac:dyDescent="0.3">
      <c r="A762" s="3" t="s">
        <v>836</v>
      </c>
      <c r="B762" s="4">
        <v>45841</v>
      </c>
      <c r="C762" s="3" t="s">
        <v>11</v>
      </c>
      <c r="D762" s="3" t="s">
        <v>18</v>
      </c>
      <c r="E762" s="3" t="s">
        <v>28</v>
      </c>
      <c r="F762" s="3" t="s">
        <v>114</v>
      </c>
      <c r="G762" s="5">
        <v>168.7</v>
      </c>
      <c r="H762" s="3" t="s">
        <v>34</v>
      </c>
      <c r="I762" s="3" t="s">
        <v>26</v>
      </c>
      <c r="J762" s="5">
        <v>97219.1</v>
      </c>
    </row>
    <row r="763" spans="1:10" x14ac:dyDescent="0.3">
      <c r="A763" s="3" t="s">
        <v>837</v>
      </c>
      <c r="B763" s="4">
        <v>45841</v>
      </c>
      <c r="C763" s="3" t="s">
        <v>36</v>
      </c>
      <c r="D763" s="3" t="s">
        <v>18</v>
      </c>
      <c r="E763" s="3" t="s">
        <v>39</v>
      </c>
      <c r="F763" s="3" t="s">
        <v>89</v>
      </c>
      <c r="G763" s="5">
        <v>16.34</v>
      </c>
      <c r="H763" s="3" t="s">
        <v>34</v>
      </c>
      <c r="I763" s="3" t="s">
        <v>26</v>
      </c>
      <c r="J763" s="5">
        <v>97202.76</v>
      </c>
    </row>
    <row r="764" spans="1:10" x14ac:dyDescent="0.3">
      <c r="A764" s="3" t="s">
        <v>838</v>
      </c>
      <c r="B764" s="4">
        <v>45842</v>
      </c>
      <c r="C764" s="3" t="s">
        <v>11</v>
      </c>
      <c r="D764" s="3" t="s">
        <v>12</v>
      </c>
      <c r="E764" s="3" t="s">
        <v>108</v>
      </c>
      <c r="F764" s="3" t="s">
        <v>388</v>
      </c>
      <c r="G764" s="5">
        <v>1281.8499999999999</v>
      </c>
      <c r="H764" s="3" t="s">
        <v>183</v>
      </c>
      <c r="I764" s="3" t="s">
        <v>26</v>
      </c>
      <c r="J764" s="5">
        <v>98484.61</v>
      </c>
    </row>
    <row r="765" spans="1:10" x14ac:dyDescent="0.3">
      <c r="A765" s="3" t="s">
        <v>839</v>
      </c>
      <c r="B765" s="4">
        <v>45842</v>
      </c>
      <c r="C765" s="3" t="s">
        <v>11</v>
      </c>
      <c r="D765" s="3" t="s">
        <v>18</v>
      </c>
      <c r="E765" s="3" t="s">
        <v>23</v>
      </c>
      <c r="F765" s="3" t="s">
        <v>98</v>
      </c>
      <c r="G765" s="5">
        <v>63.35</v>
      </c>
      <c r="H765" s="3" t="s">
        <v>25</v>
      </c>
      <c r="I765" s="3" t="s">
        <v>26</v>
      </c>
      <c r="J765" s="5">
        <v>98421.26</v>
      </c>
    </row>
    <row r="766" spans="1:10" x14ac:dyDescent="0.3">
      <c r="A766" s="3" t="s">
        <v>840</v>
      </c>
      <c r="B766" s="4">
        <v>45842</v>
      </c>
      <c r="C766" s="3" t="s">
        <v>11</v>
      </c>
      <c r="D766" s="3" t="s">
        <v>18</v>
      </c>
      <c r="E766" s="3" t="s">
        <v>47</v>
      </c>
      <c r="F766" s="3" t="s">
        <v>91</v>
      </c>
      <c r="G766" s="5">
        <v>44.36</v>
      </c>
      <c r="H766" s="3" t="s">
        <v>34</v>
      </c>
      <c r="I766" s="3" t="s">
        <v>26</v>
      </c>
      <c r="J766" s="5">
        <v>98376.9</v>
      </c>
    </row>
    <row r="767" spans="1:10" x14ac:dyDescent="0.3">
      <c r="A767" s="3" t="s">
        <v>841</v>
      </c>
      <c r="B767" s="4">
        <v>45843</v>
      </c>
      <c r="C767" s="3" t="s">
        <v>36</v>
      </c>
      <c r="D767" s="3" t="s">
        <v>18</v>
      </c>
      <c r="E767" s="3" t="s">
        <v>47</v>
      </c>
      <c r="F767" s="3" t="s">
        <v>82</v>
      </c>
      <c r="G767" s="5">
        <v>33.39</v>
      </c>
      <c r="H767" s="3" t="s">
        <v>25</v>
      </c>
      <c r="I767" s="3" t="s">
        <v>26</v>
      </c>
      <c r="J767" s="5">
        <v>98343.51</v>
      </c>
    </row>
    <row r="768" spans="1:10" x14ac:dyDescent="0.3">
      <c r="A768" s="3" t="s">
        <v>842</v>
      </c>
      <c r="B768" s="4">
        <v>45843</v>
      </c>
      <c r="C768" s="3" t="s">
        <v>11</v>
      </c>
      <c r="D768" s="3" t="s">
        <v>18</v>
      </c>
      <c r="E768" s="3" t="s">
        <v>39</v>
      </c>
      <c r="F768" s="3" t="s">
        <v>186</v>
      </c>
      <c r="G768" s="5">
        <v>94.5</v>
      </c>
      <c r="H768" s="3" t="s">
        <v>30</v>
      </c>
      <c r="I768" s="3" t="s">
        <v>26</v>
      </c>
      <c r="J768" s="5">
        <v>98249.01</v>
      </c>
    </row>
    <row r="769" spans="1:10" x14ac:dyDescent="0.3">
      <c r="A769" s="3" t="s">
        <v>843</v>
      </c>
      <c r="B769" s="4">
        <v>45844</v>
      </c>
      <c r="C769" s="3" t="s">
        <v>36</v>
      </c>
      <c r="D769" s="3" t="s">
        <v>18</v>
      </c>
      <c r="E769" s="3" t="s">
        <v>43</v>
      </c>
      <c r="F769" s="3" t="s">
        <v>103</v>
      </c>
      <c r="G769" s="5">
        <v>173.88</v>
      </c>
      <c r="H769" s="3" t="s">
        <v>21</v>
      </c>
      <c r="I769" s="3" t="s">
        <v>16</v>
      </c>
      <c r="J769" s="5">
        <v>98075.13</v>
      </c>
    </row>
    <row r="770" spans="1:10" x14ac:dyDescent="0.3">
      <c r="A770" s="3" t="s">
        <v>844</v>
      </c>
      <c r="B770" s="4">
        <v>45844</v>
      </c>
      <c r="C770" s="3" t="s">
        <v>11</v>
      </c>
      <c r="D770" s="3" t="s">
        <v>18</v>
      </c>
      <c r="E770" s="3" t="s">
        <v>28</v>
      </c>
      <c r="F770" s="3" t="s">
        <v>74</v>
      </c>
      <c r="G770" s="5">
        <v>75.92</v>
      </c>
      <c r="H770" s="3" t="s">
        <v>34</v>
      </c>
      <c r="I770" s="3" t="s">
        <v>26</v>
      </c>
      <c r="J770" s="5">
        <v>97999.21</v>
      </c>
    </row>
    <row r="771" spans="1:10" x14ac:dyDescent="0.3">
      <c r="A771" s="3" t="s">
        <v>845</v>
      </c>
      <c r="B771" s="4">
        <v>45845</v>
      </c>
      <c r="C771" s="3" t="s">
        <v>11</v>
      </c>
      <c r="D771" s="3" t="s">
        <v>18</v>
      </c>
      <c r="E771" s="3" t="s">
        <v>28</v>
      </c>
      <c r="F771" s="3" t="s">
        <v>79</v>
      </c>
      <c r="G771" s="5">
        <v>144.06</v>
      </c>
      <c r="H771" s="3" t="s">
        <v>34</v>
      </c>
      <c r="I771" s="3" t="s">
        <v>26</v>
      </c>
      <c r="J771" s="5">
        <v>97855.15</v>
      </c>
    </row>
    <row r="772" spans="1:10" x14ac:dyDescent="0.3">
      <c r="A772" s="3" t="s">
        <v>846</v>
      </c>
      <c r="B772" s="4">
        <v>45845</v>
      </c>
      <c r="C772" s="3" t="s">
        <v>36</v>
      </c>
      <c r="D772" s="3" t="s">
        <v>18</v>
      </c>
      <c r="E772" s="3" t="s">
        <v>23</v>
      </c>
      <c r="F772" s="3" t="s">
        <v>54</v>
      </c>
      <c r="G772" s="5">
        <v>48.03</v>
      </c>
      <c r="H772" s="3" t="s">
        <v>25</v>
      </c>
      <c r="I772" s="3" t="s">
        <v>26</v>
      </c>
      <c r="J772" s="5">
        <v>97807.12</v>
      </c>
    </row>
    <row r="773" spans="1:10" x14ac:dyDescent="0.3">
      <c r="A773" s="3" t="s">
        <v>847</v>
      </c>
      <c r="B773" s="4">
        <v>45845</v>
      </c>
      <c r="C773" s="3" t="s">
        <v>36</v>
      </c>
      <c r="D773" s="3" t="s">
        <v>18</v>
      </c>
      <c r="E773" s="3" t="s">
        <v>47</v>
      </c>
      <c r="F773" s="3" t="s">
        <v>69</v>
      </c>
      <c r="G773" s="5">
        <v>58.09</v>
      </c>
      <c r="H773" s="3" t="s">
        <v>25</v>
      </c>
      <c r="I773" s="3" t="s">
        <v>26</v>
      </c>
      <c r="J773" s="5">
        <v>97749.03</v>
      </c>
    </row>
    <row r="774" spans="1:10" x14ac:dyDescent="0.3">
      <c r="A774" s="3" t="s">
        <v>848</v>
      </c>
      <c r="B774" s="4">
        <v>45846</v>
      </c>
      <c r="C774" s="3" t="s">
        <v>11</v>
      </c>
      <c r="D774" s="3" t="s">
        <v>18</v>
      </c>
      <c r="E774" s="3" t="s">
        <v>28</v>
      </c>
      <c r="F774" s="3" t="s">
        <v>114</v>
      </c>
      <c r="G774" s="5">
        <v>138</v>
      </c>
      <c r="H774" s="3" t="s">
        <v>30</v>
      </c>
      <c r="I774" s="3" t="s">
        <v>26</v>
      </c>
      <c r="J774" s="5">
        <v>97611.03</v>
      </c>
    </row>
    <row r="775" spans="1:10" x14ac:dyDescent="0.3">
      <c r="A775" s="3" t="s">
        <v>849</v>
      </c>
      <c r="B775" s="4">
        <v>45847</v>
      </c>
      <c r="C775" s="3" t="s">
        <v>11</v>
      </c>
      <c r="D775" s="3" t="s">
        <v>18</v>
      </c>
      <c r="E775" s="3" t="s">
        <v>23</v>
      </c>
      <c r="F775" s="3" t="s">
        <v>37</v>
      </c>
      <c r="G775" s="5">
        <v>66.7</v>
      </c>
      <c r="H775" s="3" t="s">
        <v>25</v>
      </c>
      <c r="I775" s="3" t="s">
        <v>26</v>
      </c>
      <c r="J775" s="5">
        <v>97544.33</v>
      </c>
    </row>
    <row r="776" spans="1:10" x14ac:dyDescent="0.3">
      <c r="A776" s="3" t="s">
        <v>850</v>
      </c>
      <c r="B776" s="4">
        <v>45849</v>
      </c>
      <c r="C776" s="3" t="s">
        <v>11</v>
      </c>
      <c r="D776" s="3" t="s">
        <v>18</v>
      </c>
      <c r="E776" s="3" t="s">
        <v>23</v>
      </c>
      <c r="F776" s="3" t="s">
        <v>87</v>
      </c>
      <c r="G776" s="5">
        <v>39.659999999999997</v>
      </c>
      <c r="H776" s="3" t="s">
        <v>25</v>
      </c>
      <c r="I776" s="3" t="s">
        <v>26</v>
      </c>
      <c r="J776" s="5">
        <v>97504.67</v>
      </c>
    </row>
    <row r="777" spans="1:10" x14ac:dyDescent="0.3">
      <c r="A777" s="3" t="s">
        <v>851</v>
      </c>
      <c r="B777" s="4">
        <v>45850</v>
      </c>
      <c r="C777" s="3" t="s">
        <v>126</v>
      </c>
      <c r="D777" s="3" t="s">
        <v>12</v>
      </c>
      <c r="E777" s="3" t="s">
        <v>108</v>
      </c>
      <c r="F777" s="3" t="s">
        <v>388</v>
      </c>
      <c r="G777" s="5">
        <v>662.98</v>
      </c>
      <c r="H777" s="3" t="s">
        <v>183</v>
      </c>
      <c r="I777" s="3" t="s">
        <v>26</v>
      </c>
      <c r="J777" s="5">
        <v>98167.65</v>
      </c>
    </row>
    <row r="778" spans="1:10" x14ac:dyDescent="0.3">
      <c r="A778" s="3" t="s">
        <v>852</v>
      </c>
      <c r="B778" s="4">
        <v>45850</v>
      </c>
      <c r="C778" s="3" t="s">
        <v>11</v>
      </c>
      <c r="D778" s="3" t="s">
        <v>18</v>
      </c>
      <c r="E778" s="3" t="s">
        <v>47</v>
      </c>
      <c r="F778" s="3" t="s">
        <v>69</v>
      </c>
      <c r="G778" s="5">
        <v>47.06</v>
      </c>
      <c r="H778" s="3" t="s">
        <v>34</v>
      </c>
      <c r="I778" s="3" t="s">
        <v>26</v>
      </c>
      <c r="J778" s="5">
        <v>98120.59</v>
      </c>
    </row>
    <row r="779" spans="1:10" x14ac:dyDescent="0.3">
      <c r="A779" s="3" t="s">
        <v>853</v>
      </c>
      <c r="B779" s="4">
        <v>45851</v>
      </c>
      <c r="C779" s="3" t="s">
        <v>11</v>
      </c>
      <c r="D779" s="3" t="s">
        <v>18</v>
      </c>
      <c r="E779" s="3" t="s">
        <v>28</v>
      </c>
      <c r="F779" s="3" t="s">
        <v>74</v>
      </c>
      <c r="G779" s="5">
        <v>149.35</v>
      </c>
      <c r="H779" s="3" t="s">
        <v>34</v>
      </c>
      <c r="I779" s="3" t="s">
        <v>26</v>
      </c>
      <c r="J779" s="5">
        <v>97971.24</v>
      </c>
    </row>
    <row r="780" spans="1:10" x14ac:dyDescent="0.3">
      <c r="A780" s="3" t="s">
        <v>854</v>
      </c>
      <c r="B780" s="4">
        <v>45852</v>
      </c>
      <c r="C780" s="3" t="s">
        <v>11</v>
      </c>
      <c r="D780" s="3" t="s">
        <v>18</v>
      </c>
      <c r="E780" s="3" t="s">
        <v>23</v>
      </c>
      <c r="F780" s="3" t="s">
        <v>76</v>
      </c>
      <c r="G780" s="5">
        <v>53.01</v>
      </c>
      <c r="H780" s="3" t="s">
        <v>25</v>
      </c>
      <c r="I780" s="3" t="s">
        <v>26</v>
      </c>
      <c r="J780" s="5">
        <v>97918.23</v>
      </c>
    </row>
    <row r="781" spans="1:10" x14ac:dyDescent="0.3">
      <c r="A781" s="3" t="s">
        <v>855</v>
      </c>
      <c r="B781" s="4">
        <v>45853</v>
      </c>
      <c r="C781" s="3" t="s">
        <v>11</v>
      </c>
      <c r="D781" s="3" t="s">
        <v>12</v>
      </c>
      <c r="E781" s="3" t="s">
        <v>13</v>
      </c>
      <c r="F781" s="3" t="s">
        <v>14</v>
      </c>
      <c r="G781" s="5">
        <v>5484.04</v>
      </c>
      <c r="H781" s="3" t="s">
        <v>15</v>
      </c>
      <c r="I781" s="3" t="s">
        <v>16</v>
      </c>
      <c r="J781" s="5">
        <v>103402.27</v>
      </c>
    </row>
    <row r="782" spans="1:10" x14ac:dyDescent="0.3">
      <c r="A782" s="3" t="s">
        <v>856</v>
      </c>
      <c r="B782" s="4">
        <v>45853</v>
      </c>
      <c r="C782" s="3" t="s">
        <v>36</v>
      </c>
      <c r="D782" s="3" t="s">
        <v>18</v>
      </c>
      <c r="E782" s="3" t="s">
        <v>47</v>
      </c>
      <c r="F782" s="3" t="s">
        <v>82</v>
      </c>
      <c r="G782" s="5">
        <v>27.19</v>
      </c>
      <c r="H782" s="3" t="s">
        <v>25</v>
      </c>
      <c r="I782" s="3" t="s">
        <v>26</v>
      </c>
      <c r="J782" s="5">
        <v>103375.08</v>
      </c>
    </row>
    <row r="783" spans="1:10" x14ac:dyDescent="0.3">
      <c r="A783" s="3" t="s">
        <v>857</v>
      </c>
      <c r="B783" s="4">
        <v>45856</v>
      </c>
      <c r="C783" s="3" t="s">
        <v>11</v>
      </c>
      <c r="D783" s="3" t="s">
        <v>18</v>
      </c>
      <c r="E783" s="3" t="s">
        <v>23</v>
      </c>
      <c r="F783" s="3" t="s">
        <v>98</v>
      </c>
      <c r="G783" s="5">
        <v>75.099999999999994</v>
      </c>
      <c r="H783" s="3" t="s">
        <v>30</v>
      </c>
      <c r="I783" s="3" t="s">
        <v>26</v>
      </c>
      <c r="J783" s="5">
        <v>103299.98</v>
      </c>
    </row>
    <row r="784" spans="1:10" x14ac:dyDescent="0.3">
      <c r="A784" s="3" t="s">
        <v>858</v>
      </c>
      <c r="B784" s="4">
        <v>45856</v>
      </c>
      <c r="C784" s="3" t="s">
        <v>11</v>
      </c>
      <c r="D784" s="3" t="s">
        <v>18</v>
      </c>
      <c r="E784" s="3" t="s">
        <v>39</v>
      </c>
      <c r="F784" s="3" t="s">
        <v>156</v>
      </c>
      <c r="G784" s="5">
        <v>14.16</v>
      </c>
      <c r="H784" s="3" t="s">
        <v>30</v>
      </c>
      <c r="I784" s="3" t="s">
        <v>26</v>
      </c>
      <c r="J784" s="5">
        <v>103285.82</v>
      </c>
    </row>
    <row r="785" spans="1:10" x14ac:dyDescent="0.3">
      <c r="A785" s="3" t="s">
        <v>859</v>
      </c>
      <c r="B785" s="4">
        <v>45858</v>
      </c>
      <c r="C785" s="3" t="s">
        <v>11</v>
      </c>
      <c r="D785" s="3" t="s">
        <v>18</v>
      </c>
      <c r="E785" s="3" t="s">
        <v>28</v>
      </c>
      <c r="F785" s="3" t="s">
        <v>117</v>
      </c>
      <c r="G785" s="5">
        <v>19.899999999999999</v>
      </c>
      <c r="H785" s="3" t="s">
        <v>30</v>
      </c>
      <c r="I785" s="3" t="s">
        <v>26</v>
      </c>
      <c r="J785" s="5">
        <v>103265.92</v>
      </c>
    </row>
    <row r="786" spans="1:10" x14ac:dyDescent="0.3">
      <c r="A786" s="3" t="s">
        <v>860</v>
      </c>
      <c r="B786" s="4">
        <v>45859</v>
      </c>
      <c r="C786" s="3" t="s">
        <v>11</v>
      </c>
      <c r="D786" s="3" t="s">
        <v>18</v>
      </c>
      <c r="E786" s="3" t="s">
        <v>47</v>
      </c>
      <c r="F786" s="3" t="s">
        <v>48</v>
      </c>
      <c r="G786" s="5">
        <v>52.74</v>
      </c>
      <c r="H786" s="3" t="s">
        <v>34</v>
      </c>
      <c r="I786" s="3" t="s">
        <v>26</v>
      </c>
      <c r="J786" s="5">
        <v>103213.18</v>
      </c>
    </row>
    <row r="787" spans="1:10" x14ac:dyDescent="0.3">
      <c r="A787" s="3" t="s">
        <v>861</v>
      </c>
      <c r="B787" s="4">
        <v>45859</v>
      </c>
      <c r="C787" s="3" t="s">
        <v>36</v>
      </c>
      <c r="D787" s="3" t="s">
        <v>18</v>
      </c>
      <c r="E787" s="3" t="s">
        <v>39</v>
      </c>
      <c r="F787" s="3" t="s">
        <v>64</v>
      </c>
      <c r="G787" s="5">
        <v>64.78</v>
      </c>
      <c r="H787" s="3" t="s">
        <v>34</v>
      </c>
      <c r="I787" s="3" t="s">
        <v>26</v>
      </c>
      <c r="J787" s="5">
        <v>103148.4</v>
      </c>
    </row>
    <row r="788" spans="1:10" x14ac:dyDescent="0.3">
      <c r="A788" s="3" t="s">
        <v>862</v>
      </c>
      <c r="B788" s="4">
        <v>45860</v>
      </c>
      <c r="C788" s="3" t="s">
        <v>36</v>
      </c>
      <c r="D788" s="3" t="s">
        <v>18</v>
      </c>
      <c r="E788" s="3" t="s">
        <v>23</v>
      </c>
      <c r="F788" s="3" t="s">
        <v>37</v>
      </c>
      <c r="G788" s="5">
        <v>38.94</v>
      </c>
      <c r="H788" s="3" t="s">
        <v>25</v>
      </c>
      <c r="I788" s="3" t="s">
        <v>26</v>
      </c>
      <c r="J788" s="5">
        <v>103109.46</v>
      </c>
    </row>
    <row r="789" spans="1:10" x14ac:dyDescent="0.3">
      <c r="A789" s="3" t="s">
        <v>863</v>
      </c>
      <c r="B789" s="4">
        <v>45862</v>
      </c>
      <c r="C789" s="3" t="s">
        <v>11</v>
      </c>
      <c r="D789" s="3" t="s">
        <v>18</v>
      </c>
      <c r="E789" s="3" t="s">
        <v>23</v>
      </c>
      <c r="F789" s="3" t="s">
        <v>98</v>
      </c>
      <c r="G789" s="5">
        <v>33.450000000000003</v>
      </c>
      <c r="H789" s="3" t="s">
        <v>30</v>
      </c>
      <c r="I789" s="3" t="s">
        <v>26</v>
      </c>
      <c r="J789" s="5">
        <v>103076.01</v>
      </c>
    </row>
    <row r="790" spans="1:10" x14ac:dyDescent="0.3">
      <c r="A790" s="3" t="s">
        <v>864</v>
      </c>
      <c r="B790" s="4">
        <v>45862</v>
      </c>
      <c r="C790" s="3" t="s">
        <v>11</v>
      </c>
      <c r="D790" s="3" t="s">
        <v>18</v>
      </c>
      <c r="E790" s="3" t="s">
        <v>47</v>
      </c>
      <c r="F790" s="3" t="s">
        <v>91</v>
      </c>
      <c r="G790" s="5">
        <v>31.99</v>
      </c>
      <c r="H790" s="3" t="s">
        <v>25</v>
      </c>
      <c r="I790" s="3" t="s">
        <v>26</v>
      </c>
      <c r="J790" s="5">
        <v>103044.02</v>
      </c>
    </row>
    <row r="791" spans="1:10" x14ac:dyDescent="0.3">
      <c r="A791" s="3" t="s">
        <v>865</v>
      </c>
      <c r="B791" s="4">
        <v>45863</v>
      </c>
      <c r="C791" s="3" t="s">
        <v>36</v>
      </c>
      <c r="D791" s="3" t="s">
        <v>18</v>
      </c>
      <c r="E791" s="3" t="s">
        <v>23</v>
      </c>
      <c r="F791" s="3" t="s">
        <v>32</v>
      </c>
      <c r="G791" s="5">
        <v>54.54</v>
      </c>
      <c r="H791" s="3" t="s">
        <v>30</v>
      </c>
      <c r="I791" s="3" t="s">
        <v>26</v>
      </c>
      <c r="J791" s="5">
        <v>102989.48</v>
      </c>
    </row>
    <row r="792" spans="1:10" x14ac:dyDescent="0.3">
      <c r="A792" s="3" t="s">
        <v>866</v>
      </c>
      <c r="B792" s="4">
        <v>45864</v>
      </c>
      <c r="C792" s="3" t="s">
        <v>36</v>
      </c>
      <c r="D792" s="3" t="s">
        <v>18</v>
      </c>
      <c r="E792" s="3" t="s">
        <v>28</v>
      </c>
      <c r="F792" s="3" t="s">
        <v>79</v>
      </c>
      <c r="G792" s="5">
        <v>150.80000000000001</v>
      </c>
      <c r="H792" s="3" t="s">
        <v>34</v>
      </c>
      <c r="I792" s="3" t="s">
        <v>26</v>
      </c>
      <c r="J792" s="5">
        <v>102838.68</v>
      </c>
    </row>
    <row r="793" spans="1:10" x14ac:dyDescent="0.3">
      <c r="A793" s="3" t="s">
        <v>867</v>
      </c>
      <c r="B793" s="4">
        <v>45864</v>
      </c>
      <c r="C793" s="3" t="s">
        <v>36</v>
      </c>
      <c r="D793" s="3" t="s">
        <v>18</v>
      </c>
      <c r="E793" s="3" t="s">
        <v>23</v>
      </c>
      <c r="F793" s="3" t="s">
        <v>24</v>
      </c>
      <c r="G793" s="5">
        <v>60.64</v>
      </c>
      <c r="H793" s="3" t="s">
        <v>30</v>
      </c>
      <c r="I793" s="3" t="s">
        <v>26</v>
      </c>
      <c r="J793" s="5">
        <v>102778.04</v>
      </c>
    </row>
    <row r="794" spans="1:10" x14ac:dyDescent="0.3">
      <c r="A794" s="3" t="s">
        <v>868</v>
      </c>
      <c r="B794" s="4">
        <v>45865</v>
      </c>
      <c r="C794" s="3" t="s">
        <v>11</v>
      </c>
      <c r="D794" s="3" t="s">
        <v>18</v>
      </c>
      <c r="E794" s="3" t="s">
        <v>23</v>
      </c>
      <c r="F794" s="3" t="s">
        <v>124</v>
      </c>
      <c r="G794" s="5">
        <v>49.65</v>
      </c>
      <c r="H794" s="3" t="s">
        <v>30</v>
      </c>
      <c r="I794" s="3" t="s">
        <v>26</v>
      </c>
      <c r="J794" s="5">
        <v>102728.39</v>
      </c>
    </row>
    <row r="795" spans="1:10" x14ac:dyDescent="0.3">
      <c r="A795" s="3" t="s">
        <v>869</v>
      </c>
      <c r="B795" s="4">
        <v>45866</v>
      </c>
      <c r="C795" s="3" t="s">
        <v>36</v>
      </c>
      <c r="D795" s="3" t="s">
        <v>18</v>
      </c>
      <c r="E795" s="3" t="s">
        <v>28</v>
      </c>
      <c r="F795" s="3" t="s">
        <v>74</v>
      </c>
      <c r="G795" s="5">
        <v>148.86000000000001</v>
      </c>
      <c r="H795" s="3" t="s">
        <v>34</v>
      </c>
      <c r="I795" s="3" t="s">
        <v>26</v>
      </c>
      <c r="J795" s="5">
        <v>102579.53</v>
      </c>
    </row>
    <row r="796" spans="1:10" x14ac:dyDescent="0.3">
      <c r="A796" s="3" t="s">
        <v>870</v>
      </c>
      <c r="B796" s="4">
        <v>45867</v>
      </c>
      <c r="C796" s="3" t="s">
        <v>11</v>
      </c>
      <c r="D796" s="3" t="s">
        <v>12</v>
      </c>
      <c r="E796" s="3" t="s">
        <v>108</v>
      </c>
      <c r="F796" s="3" t="s">
        <v>354</v>
      </c>
      <c r="G796" s="5">
        <v>1225.78</v>
      </c>
      <c r="H796" s="3" t="s">
        <v>183</v>
      </c>
      <c r="I796" s="3" t="s">
        <v>26</v>
      </c>
      <c r="J796" s="5">
        <v>103805.31</v>
      </c>
    </row>
    <row r="797" spans="1:10" x14ac:dyDescent="0.3">
      <c r="A797" s="3" t="s">
        <v>871</v>
      </c>
      <c r="B797" s="4">
        <v>45867</v>
      </c>
      <c r="C797" s="3" t="s">
        <v>11</v>
      </c>
      <c r="D797" s="3" t="s">
        <v>18</v>
      </c>
      <c r="E797" s="3" t="s">
        <v>28</v>
      </c>
      <c r="F797" s="3" t="s">
        <v>114</v>
      </c>
      <c r="G797" s="5">
        <v>78.45</v>
      </c>
      <c r="H797" s="3" t="s">
        <v>30</v>
      </c>
      <c r="I797" s="3" t="s">
        <v>26</v>
      </c>
      <c r="J797" s="5">
        <v>103726.86</v>
      </c>
    </row>
    <row r="798" spans="1:10" x14ac:dyDescent="0.3">
      <c r="A798" s="3" t="s">
        <v>872</v>
      </c>
      <c r="B798" s="4">
        <v>45867</v>
      </c>
      <c r="C798" s="3" t="s">
        <v>36</v>
      </c>
      <c r="D798" s="3" t="s">
        <v>18</v>
      </c>
      <c r="E798" s="3" t="s">
        <v>47</v>
      </c>
      <c r="F798" s="3" t="s">
        <v>82</v>
      </c>
      <c r="G798" s="5">
        <v>41.12</v>
      </c>
      <c r="H798" s="3" t="s">
        <v>34</v>
      </c>
      <c r="I798" s="3" t="s">
        <v>26</v>
      </c>
      <c r="J798" s="5">
        <v>103685.74</v>
      </c>
    </row>
    <row r="799" spans="1:10" x14ac:dyDescent="0.3">
      <c r="A799" s="3" t="s">
        <v>873</v>
      </c>
      <c r="B799" s="4">
        <v>45868</v>
      </c>
      <c r="C799" s="3" t="s">
        <v>11</v>
      </c>
      <c r="D799" s="3" t="s">
        <v>18</v>
      </c>
      <c r="E799" s="3" t="s">
        <v>23</v>
      </c>
      <c r="F799" s="3" t="s">
        <v>32</v>
      </c>
      <c r="G799" s="5">
        <v>43.24</v>
      </c>
      <c r="H799" s="3" t="s">
        <v>25</v>
      </c>
      <c r="I799" s="3" t="s">
        <v>26</v>
      </c>
      <c r="J799" s="5">
        <v>103642.5</v>
      </c>
    </row>
    <row r="800" spans="1:10" x14ac:dyDescent="0.3">
      <c r="A800" s="3" t="s">
        <v>874</v>
      </c>
      <c r="B800" s="4">
        <v>45868</v>
      </c>
      <c r="C800" s="3" t="s">
        <v>11</v>
      </c>
      <c r="D800" s="3" t="s">
        <v>18</v>
      </c>
      <c r="E800" s="3" t="s">
        <v>47</v>
      </c>
      <c r="F800" s="3" t="s">
        <v>48</v>
      </c>
      <c r="G800" s="5">
        <v>43.88</v>
      </c>
      <c r="H800" s="3" t="s">
        <v>25</v>
      </c>
      <c r="I800" s="3" t="s">
        <v>26</v>
      </c>
      <c r="J800" s="5">
        <v>103598.62</v>
      </c>
    </row>
    <row r="801" spans="1:10" x14ac:dyDescent="0.3">
      <c r="A801" s="3" t="s">
        <v>875</v>
      </c>
      <c r="B801" s="4">
        <v>45869</v>
      </c>
      <c r="C801" s="3" t="s">
        <v>36</v>
      </c>
      <c r="D801" s="3" t="s">
        <v>18</v>
      </c>
      <c r="E801" s="3" t="s">
        <v>47</v>
      </c>
      <c r="F801" s="3" t="s">
        <v>82</v>
      </c>
      <c r="G801" s="5">
        <v>11.73</v>
      </c>
      <c r="H801" s="3" t="s">
        <v>34</v>
      </c>
      <c r="I801" s="3" t="s">
        <v>26</v>
      </c>
      <c r="J801" s="5">
        <v>103586.89</v>
      </c>
    </row>
    <row r="802" spans="1:10" x14ac:dyDescent="0.3">
      <c r="A802" s="3" t="s">
        <v>876</v>
      </c>
      <c r="B802" s="4">
        <v>45870</v>
      </c>
      <c r="C802" s="3" t="s">
        <v>11</v>
      </c>
      <c r="D802" s="3" t="s">
        <v>18</v>
      </c>
      <c r="E802" s="3" t="s">
        <v>19</v>
      </c>
      <c r="F802" s="3" t="s">
        <v>20</v>
      </c>
      <c r="G802" s="5">
        <v>1464.87</v>
      </c>
      <c r="H802" s="3" t="s">
        <v>21</v>
      </c>
      <c r="I802" s="3" t="s">
        <v>16</v>
      </c>
      <c r="J802" s="5">
        <v>102122.02</v>
      </c>
    </row>
    <row r="803" spans="1:10" x14ac:dyDescent="0.3">
      <c r="A803" s="3" t="s">
        <v>877</v>
      </c>
      <c r="B803" s="4">
        <v>45871</v>
      </c>
      <c r="C803" s="3" t="s">
        <v>11</v>
      </c>
      <c r="D803" s="3" t="s">
        <v>18</v>
      </c>
      <c r="E803" s="3" t="s">
        <v>47</v>
      </c>
      <c r="F803" s="3" t="s">
        <v>60</v>
      </c>
      <c r="G803" s="5">
        <v>54.56</v>
      </c>
      <c r="H803" s="3" t="s">
        <v>25</v>
      </c>
      <c r="I803" s="3" t="s">
        <v>26</v>
      </c>
      <c r="J803" s="5">
        <v>102067.46</v>
      </c>
    </row>
    <row r="804" spans="1:10" x14ac:dyDescent="0.3">
      <c r="A804" s="3" t="s">
        <v>878</v>
      </c>
      <c r="B804" s="4">
        <v>45872</v>
      </c>
      <c r="C804" s="3" t="s">
        <v>11</v>
      </c>
      <c r="D804" s="3" t="s">
        <v>18</v>
      </c>
      <c r="E804" s="3" t="s">
        <v>47</v>
      </c>
      <c r="F804" s="3" t="s">
        <v>106</v>
      </c>
      <c r="G804" s="5">
        <v>11.64</v>
      </c>
      <c r="H804" s="3" t="s">
        <v>30</v>
      </c>
      <c r="I804" s="3" t="s">
        <v>26</v>
      </c>
      <c r="J804" s="5">
        <v>102055.82</v>
      </c>
    </row>
    <row r="805" spans="1:10" x14ac:dyDescent="0.3">
      <c r="A805" s="3" t="s">
        <v>879</v>
      </c>
      <c r="B805" s="4">
        <v>45873</v>
      </c>
      <c r="C805" s="3" t="s">
        <v>11</v>
      </c>
      <c r="D805" s="3" t="s">
        <v>18</v>
      </c>
      <c r="E805" s="3" t="s">
        <v>23</v>
      </c>
      <c r="F805" s="3" t="s">
        <v>54</v>
      </c>
      <c r="G805" s="5">
        <v>40.47</v>
      </c>
      <c r="H805" s="3" t="s">
        <v>30</v>
      </c>
      <c r="I805" s="3" t="s">
        <v>26</v>
      </c>
      <c r="J805" s="5">
        <v>102015.35</v>
      </c>
    </row>
    <row r="806" spans="1:10" x14ac:dyDescent="0.3">
      <c r="A806" s="3" t="s">
        <v>880</v>
      </c>
      <c r="B806" s="4">
        <v>45873</v>
      </c>
      <c r="C806" s="3" t="s">
        <v>11</v>
      </c>
      <c r="D806" s="3" t="s">
        <v>18</v>
      </c>
      <c r="E806" s="3" t="s">
        <v>39</v>
      </c>
      <c r="F806" s="3" t="s">
        <v>156</v>
      </c>
      <c r="G806" s="5">
        <v>98.05</v>
      </c>
      <c r="H806" s="3" t="s">
        <v>34</v>
      </c>
      <c r="I806" s="3" t="s">
        <v>26</v>
      </c>
      <c r="J806" s="5">
        <v>101917.3</v>
      </c>
    </row>
    <row r="807" spans="1:10" x14ac:dyDescent="0.3">
      <c r="A807" s="3" t="s">
        <v>881</v>
      </c>
      <c r="B807" s="4">
        <v>45875</v>
      </c>
      <c r="C807" s="3" t="s">
        <v>36</v>
      </c>
      <c r="D807" s="3" t="s">
        <v>18</v>
      </c>
      <c r="E807" s="3" t="s">
        <v>47</v>
      </c>
      <c r="F807" s="3" t="s">
        <v>60</v>
      </c>
      <c r="G807" s="5">
        <v>53.01</v>
      </c>
      <c r="H807" s="3" t="s">
        <v>30</v>
      </c>
      <c r="I807" s="3" t="s">
        <v>26</v>
      </c>
      <c r="J807" s="5">
        <v>101864.29</v>
      </c>
    </row>
    <row r="808" spans="1:10" x14ac:dyDescent="0.3">
      <c r="A808" s="3" t="s">
        <v>882</v>
      </c>
      <c r="B808" s="4">
        <v>45876</v>
      </c>
      <c r="C808" s="3" t="s">
        <v>36</v>
      </c>
      <c r="D808" s="3" t="s">
        <v>18</v>
      </c>
      <c r="E808" s="3" t="s">
        <v>43</v>
      </c>
      <c r="F808" s="3" t="s">
        <v>50</v>
      </c>
      <c r="G808" s="5">
        <v>224.7</v>
      </c>
      <c r="H808" s="3" t="s">
        <v>21</v>
      </c>
      <c r="I808" s="3" t="s">
        <v>16</v>
      </c>
      <c r="J808" s="5">
        <v>101639.59</v>
      </c>
    </row>
    <row r="809" spans="1:10" x14ac:dyDescent="0.3">
      <c r="A809" s="3" t="s">
        <v>883</v>
      </c>
      <c r="B809" s="4">
        <v>45876</v>
      </c>
      <c r="C809" s="3" t="s">
        <v>36</v>
      </c>
      <c r="D809" s="3" t="s">
        <v>18</v>
      </c>
      <c r="E809" s="3" t="s">
        <v>23</v>
      </c>
      <c r="F809" s="3" t="s">
        <v>24</v>
      </c>
      <c r="G809" s="5">
        <v>19.2</v>
      </c>
      <c r="H809" s="3" t="s">
        <v>30</v>
      </c>
      <c r="I809" s="3" t="s">
        <v>26</v>
      </c>
      <c r="J809" s="5">
        <v>101620.39</v>
      </c>
    </row>
    <row r="810" spans="1:10" x14ac:dyDescent="0.3">
      <c r="A810" s="3" t="s">
        <v>884</v>
      </c>
      <c r="B810" s="4">
        <v>45876</v>
      </c>
      <c r="C810" s="3" t="s">
        <v>11</v>
      </c>
      <c r="D810" s="3" t="s">
        <v>18</v>
      </c>
      <c r="E810" s="3" t="s">
        <v>47</v>
      </c>
      <c r="F810" s="3" t="s">
        <v>106</v>
      </c>
      <c r="G810" s="5">
        <v>22.62</v>
      </c>
      <c r="H810" s="3" t="s">
        <v>34</v>
      </c>
      <c r="I810" s="3" t="s">
        <v>26</v>
      </c>
      <c r="J810" s="5">
        <v>101597.77</v>
      </c>
    </row>
    <row r="811" spans="1:10" x14ac:dyDescent="0.3">
      <c r="A811" s="3" t="s">
        <v>885</v>
      </c>
      <c r="B811" s="4">
        <v>45879</v>
      </c>
      <c r="C811" s="3" t="s">
        <v>11</v>
      </c>
      <c r="D811" s="3" t="s">
        <v>18</v>
      </c>
      <c r="E811" s="3" t="s">
        <v>43</v>
      </c>
      <c r="F811" s="3" t="s">
        <v>50</v>
      </c>
      <c r="G811" s="5">
        <v>98.85</v>
      </c>
      <c r="H811" s="3" t="s">
        <v>21</v>
      </c>
      <c r="I811" s="3" t="s">
        <v>16</v>
      </c>
      <c r="J811" s="5">
        <v>101498.92</v>
      </c>
    </row>
    <row r="812" spans="1:10" x14ac:dyDescent="0.3">
      <c r="A812" s="3" t="s">
        <v>886</v>
      </c>
      <c r="B812" s="4">
        <v>45879</v>
      </c>
      <c r="C812" s="3" t="s">
        <v>36</v>
      </c>
      <c r="D812" s="3" t="s">
        <v>18</v>
      </c>
      <c r="E812" s="3" t="s">
        <v>47</v>
      </c>
      <c r="F812" s="3" t="s">
        <v>69</v>
      </c>
      <c r="G812" s="5">
        <v>23.75</v>
      </c>
      <c r="H812" s="3" t="s">
        <v>25</v>
      </c>
      <c r="I812" s="3" t="s">
        <v>26</v>
      </c>
      <c r="J812" s="5">
        <v>101475.17</v>
      </c>
    </row>
    <row r="813" spans="1:10" x14ac:dyDescent="0.3">
      <c r="A813" s="3" t="s">
        <v>887</v>
      </c>
      <c r="B813" s="4">
        <v>45879</v>
      </c>
      <c r="C813" s="3" t="s">
        <v>36</v>
      </c>
      <c r="D813" s="3" t="s">
        <v>18</v>
      </c>
      <c r="E813" s="3" t="s">
        <v>39</v>
      </c>
      <c r="F813" s="3" t="s">
        <v>179</v>
      </c>
      <c r="G813" s="5">
        <v>82.41</v>
      </c>
      <c r="H813" s="3" t="s">
        <v>30</v>
      </c>
      <c r="I813" s="3" t="s">
        <v>26</v>
      </c>
      <c r="J813" s="5">
        <v>101392.76</v>
      </c>
    </row>
    <row r="814" spans="1:10" x14ac:dyDescent="0.3">
      <c r="A814" s="3" t="s">
        <v>888</v>
      </c>
      <c r="B814" s="4">
        <v>45880</v>
      </c>
      <c r="C814" s="3" t="s">
        <v>11</v>
      </c>
      <c r="D814" s="3" t="s">
        <v>18</v>
      </c>
      <c r="E814" s="3" t="s">
        <v>47</v>
      </c>
      <c r="F814" s="3" t="s">
        <v>48</v>
      </c>
      <c r="G814" s="5">
        <v>34.630000000000003</v>
      </c>
      <c r="H814" s="3" t="s">
        <v>25</v>
      </c>
      <c r="I814" s="3" t="s">
        <v>26</v>
      </c>
      <c r="J814" s="5">
        <v>101358.13</v>
      </c>
    </row>
    <row r="815" spans="1:10" x14ac:dyDescent="0.3">
      <c r="A815" s="3" t="s">
        <v>889</v>
      </c>
      <c r="B815" s="4">
        <v>45881</v>
      </c>
      <c r="C815" s="3" t="s">
        <v>36</v>
      </c>
      <c r="D815" s="3" t="s">
        <v>18</v>
      </c>
      <c r="E815" s="3" t="s">
        <v>28</v>
      </c>
      <c r="F815" s="3" t="s">
        <v>79</v>
      </c>
      <c r="G815" s="5">
        <v>56.87</v>
      </c>
      <c r="H815" s="3" t="s">
        <v>30</v>
      </c>
      <c r="I815" s="3" t="s">
        <v>26</v>
      </c>
      <c r="J815" s="5">
        <v>101301.26</v>
      </c>
    </row>
    <row r="816" spans="1:10" x14ac:dyDescent="0.3">
      <c r="A816" s="3" t="s">
        <v>890</v>
      </c>
      <c r="B816" s="4">
        <v>45881</v>
      </c>
      <c r="C816" s="3" t="s">
        <v>36</v>
      </c>
      <c r="D816" s="3" t="s">
        <v>18</v>
      </c>
      <c r="E816" s="3" t="s">
        <v>47</v>
      </c>
      <c r="F816" s="3" t="s">
        <v>60</v>
      </c>
      <c r="G816" s="5">
        <v>26.22</v>
      </c>
      <c r="H816" s="3" t="s">
        <v>34</v>
      </c>
      <c r="I816" s="3" t="s">
        <v>26</v>
      </c>
      <c r="J816" s="5">
        <v>101275.04</v>
      </c>
    </row>
    <row r="817" spans="1:10" x14ac:dyDescent="0.3">
      <c r="A817" s="3" t="s">
        <v>891</v>
      </c>
      <c r="B817" s="4">
        <v>45882</v>
      </c>
      <c r="C817" s="3" t="s">
        <v>36</v>
      </c>
      <c r="D817" s="3" t="s">
        <v>18</v>
      </c>
      <c r="E817" s="3" t="s">
        <v>28</v>
      </c>
      <c r="F817" s="3" t="s">
        <v>117</v>
      </c>
      <c r="G817" s="5">
        <v>171.4</v>
      </c>
      <c r="H817" s="3" t="s">
        <v>34</v>
      </c>
      <c r="I817" s="3" t="s">
        <v>26</v>
      </c>
      <c r="J817" s="5">
        <v>101103.64</v>
      </c>
    </row>
    <row r="818" spans="1:10" x14ac:dyDescent="0.3">
      <c r="A818" s="3" t="s">
        <v>892</v>
      </c>
      <c r="B818" s="4">
        <v>45882</v>
      </c>
      <c r="C818" s="3" t="s">
        <v>36</v>
      </c>
      <c r="D818" s="3" t="s">
        <v>18</v>
      </c>
      <c r="E818" s="3" t="s">
        <v>23</v>
      </c>
      <c r="F818" s="3" t="s">
        <v>32</v>
      </c>
      <c r="G818" s="5">
        <v>26.73</v>
      </c>
      <c r="H818" s="3" t="s">
        <v>34</v>
      </c>
      <c r="I818" s="3" t="s">
        <v>26</v>
      </c>
      <c r="J818" s="5">
        <v>101076.91</v>
      </c>
    </row>
    <row r="819" spans="1:10" x14ac:dyDescent="0.3">
      <c r="A819" s="3" t="s">
        <v>893</v>
      </c>
      <c r="B819" s="4">
        <v>45882</v>
      </c>
      <c r="C819" s="3" t="s">
        <v>36</v>
      </c>
      <c r="D819" s="3" t="s">
        <v>18</v>
      </c>
      <c r="E819" s="3" t="s">
        <v>47</v>
      </c>
      <c r="F819" s="3" t="s">
        <v>106</v>
      </c>
      <c r="G819" s="5">
        <v>30.48</v>
      </c>
      <c r="H819" s="3" t="s">
        <v>34</v>
      </c>
      <c r="I819" s="3" t="s">
        <v>26</v>
      </c>
      <c r="J819" s="5">
        <v>101046.43</v>
      </c>
    </row>
    <row r="820" spans="1:10" x14ac:dyDescent="0.3">
      <c r="A820" s="3" t="s">
        <v>894</v>
      </c>
      <c r="B820" s="4">
        <v>45883</v>
      </c>
      <c r="C820" s="3" t="s">
        <v>11</v>
      </c>
      <c r="D820" s="3" t="s">
        <v>18</v>
      </c>
      <c r="E820" s="3" t="s">
        <v>28</v>
      </c>
      <c r="F820" s="3" t="s">
        <v>117</v>
      </c>
      <c r="G820" s="5">
        <v>97.03</v>
      </c>
      <c r="H820" s="3" t="s">
        <v>30</v>
      </c>
      <c r="I820" s="3" t="s">
        <v>26</v>
      </c>
      <c r="J820" s="5">
        <v>100949.4</v>
      </c>
    </row>
    <row r="821" spans="1:10" x14ac:dyDescent="0.3">
      <c r="A821" s="3" t="s">
        <v>895</v>
      </c>
      <c r="B821" s="4">
        <v>45884</v>
      </c>
      <c r="C821" s="3" t="s">
        <v>11</v>
      </c>
      <c r="D821" s="3" t="s">
        <v>12</v>
      </c>
      <c r="E821" s="3" t="s">
        <v>13</v>
      </c>
      <c r="F821" s="3" t="s">
        <v>14</v>
      </c>
      <c r="G821" s="5">
        <v>4984.24</v>
      </c>
      <c r="H821" s="3" t="s">
        <v>15</v>
      </c>
      <c r="I821" s="3" t="s">
        <v>16</v>
      </c>
      <c r="J821" s="5">
        <v>105933.64</v>
      </c>
    </row>
    <row r="822" spans="1:10" x14ac:dyDescent="0.3">
      <c r="A822" s="3" t="s">
        <v>896</v>
      </c>
      <c r="B822" s="4">
        <v>45884</v>
      </c>
      <c r="C822" s="3" t="s">
        <v>11</v>
      </c>
      <c r="D822" s="3" t="s">
        <v>18</v>
      </c>
      <c r="E822" s="3" t="s">
        <v>28</v>
      </c>
      <c r="F822" s="3" t="s">
        <v>79</v>
      </c>
      <c r="G822" s="5">
        <v>86.83</v>
      </c>
      <c r="H822" s="3" t="s">
        <v>34</v>
      </c>
      <c r="I822" s="3" t="s">
        <v>26</v>
      </c>
      <c r="J822" s="5">
        <v>105846.81</v>
      </c>
    </row>
    <row r="823" spans="1:10" x14ac:dyDescent="0.3">
      <c r="A823" s="3" t="s">
        <v>897</v>
      </c>
      <c r="B823" s="4">
        <v>45884</v>
      </c>
      <c r="C823" s="3" t="s">
        <v>36</v>
      </c>
      <c r="D823" s="3" t="s">
        <v>18</v>
      </c>
      <c r="E823" s="3" t="s">
        <v>47</v>
      </c>
      <c r="F823" s="3" t="s">
        <v>48</v>
      </c>
      <c r="G823" s="5">
        <v>12.78</v>
      </c>
      <c r="H823" s="3" t="s">
        <v>30</v>
      </c>
      <c r="I823" s="3" t="s">
        <v>26</v>
      </c>
      <c r="J823" s="5">
        <v>105834.03</v>
      </c>
    </row>
    <row r="824" spans="1:10" x14ac:dyDescent="0.3">
      <c r="A824" s="3" t="s">
        <v>898</v>
      </c>
      <c r="B824" s="4">
        <v>45885</v>
      </c>
      <c r="C824" s="3" t="s">
        <v>11</v>
      </c>
      <c r="D824" s="3" t="s">
        <v>18</v>
      </c>
      <c r="E824" s="3" t="s">
        <v>28</v>
      </c>
      <c r="F824" s="3" t="s">
        <v>52</v>
      </c>
      <c r="G824" s="5">
        <v>45.89</v>
      </c>
      <c r="H824" s="3" t="s">
        <v>34</v>
      </c>
      <c r="I824" s="3" t="s">
        <v>26</v>
      </c>
      <c r="J824" s="5">
        <v>105788.14</v>
      </c>
    </row>
    <row r="825" spans="1:10" x14ac:dyDescent="0.3">
      <c r="A825" s="3" t="s">
        <v>899</v>
      </c>
      <c r="B825" s="4">
        <v>45886</v>
      </c>
      <c r="C825" s="3" t="s">
        <v>36</v>
      </c>
      <c r="D825" s="3" t="s">
        <v>18</v>
      </c>
      <c r="E825" s="3" t="s">
        <v>23</v>
      </c>
      <c r="F825" s="3" t="s">
        <v>76</v>
      </c>
      <c r="G825" s="5">
        <v>46.84</v>
      </c>
      <c r="H825" s="3" t="s">
        <v>25</v>
      </c>
      <c r="I825" s="3" t="s">
        <v>26</v>
      </c>
      <c r="J825" s="5">
        <v>105741.3</v>
      </c>
    </row>
    <row r="826" spans="1:10" x14ac:dyDescent="0.3">
      <c r="A826" s="3" t="s">
        <v>900</v>
      </c>
      <c r="B826" s="4">
        <v>45887</v>
      </c>
      <c r="C826" s="3" t="s">
        <v>36</v>
      </c>
      <c r="D826" s="3" t="s">
        <v>18</v>
      </c>
      <c r="E826" s="3" t="s">
        <v>47</v>
      </c>
      <c r="F826" s="3" t="s">
        <v>56</v>
      </c>
      <c r="G826" s="5">
        <v>49.66</v>
      </c>
      <c r="H826" s="3" t="s">
        <v>30</v>
      </c>
      <c r="I826" s="3" t="s">
        <v>26</v>
      </c>
      <c r="J826" s="5">
        <v>105691.64</v>
      </c>
    </row>
    <row r="827" spans="1:10" x14ac:dyDescent="0.3">
      <c r="A827" s="3" t="s">
        <v>901</v>
      </c>
      <c r="B827" s="4">
        <v>45887</v>
      </c>
      <c r="C827" s="3" t="s">
        <v>11</v>
      </c>
      <c r="D827" s="3" t="s">
        <v>18</v>
      </c>
      <c r="E827" s="3" t="s">
        <v>39</v>
      </c>
      <c r="F827" s="3" t="s">
        <v>64</v>
      </c>
      <c r="G827" s="5">
        <v>77.150000000000006</v>
      </c>
      <c r="H827" s="3" t="s">
        <v>34</v>
      </c>
      <c r="I827" s="3" t="s">
        <v>26</v>
      </c>
      <c r="J827" s="5">
        <v>105614.49</v>
      </c>
    </row>
    <row r="828" spans="1:10" x14ac:dyDescent="0.3">
      <c r="A828" s="3" t="s">
        <v>902</v>
      </c>
      <c r="B828" s="4">
        <v>45888</v>
      </c>
      <c r="C828" s="3" t="s">
        <v>36</v>
      </c>
      <c r="D828" s="3" t="s">
        <v>18</v>
      </c>
      <c r="E828" s="3" t="s">
        <v>39</v>
      </c>
      <c r="F828" s="3" t="s">
        <v>156</v>
      </c>
      <c r="G828" s="5">
        <v>14</v>
      </c>
      <c r="H828" s="3" t="s">
        <v>34</v>
      </c>
      <c r="I828" s="3" t="s">
        <v>26</v>
      </c>
      <c r="J828" s="5">
        <v>105600.49</v>
      </c>
    </row>
    <row r="829" spans="1:10" x14ac:dyDescent="0.3">
      <c r="A829" s="3" t="s">
        <v>903</v>
      </c>
      <c r="B829" s="4">
        <v>45891</v>
      </c>
      <c r="C829" s="3" t="s">
        <v>36</v>
      </c>
      <c r="D829" s="3" t="s">
        <v>18</v>
      </c>
      <c r="E829" s="3" t="s">
        <v>47</v>
      </c>
      <c r="F829" s="3" t="s">
        <v>48</v>
      </c>
      <c r="G829" s="5">
        <v>9.27</v>
      </c>
      <c r="H829" s="3" t="s">
        <v>30</v>
      </c>
      <c r="I829" s="3" t="s">
        <v>26</v>
      </c>
      <c r="J829" s="5">
        <v>105591.22</v>
      </c>
    </row>
    <row r="830" spans="1:10" x14ac:dyDescent="0.3">
      <c r="A830" s="3" t="s">
        <v>904</v>
      </c>
      <c r="B830" s="4">
        <v>45892</v>
      </c>
      <c r="C830" s="3" t="s">
        <v>36</v>
      </c>
      <c r="D830" s="3" t="s">
        <v>18</v>
      </c>
      <c r="E830" s="3" t="s">
        <v>23</v>
      </c>
      <c r="F830" s="3" t="s">
        <v>76</v>
      </c>
      <c r="G830" s="5">
        <v>70.27</v>
      </c>
      <c r="H830" s="3" t="s">
        <v>34</v>
      </c>
      <c r="I830" s="3" t="s">
        <v>26</v>
      </c>
      <c r="J830" s="5">
        <v>105520.95</v>
      </c>
    </row>
    <row r="831" spans="1:10" x14ac:dyDescent="0.3">
      <c r="A831" s="3" t="s">
        <v>905</v>
      </c>
      <c r="B831" s="4">
        <v>45892</v>
      </c>
      <c r="C831" s="3" t="s">
        <v>11</v>
      </c>
      <c r="D831" s="3" t="s">
        <v>18</v>
      </c>
      <c r="E831" s="3" t="s">
        <v>47</v>
      </c>
      <c r="F831" s="3" t="s">
        <v>60</v>
      </c>
      <c r="G831" s="5">
        <v>11.9</v>
      </c>
      <c r="H831" s="3" t="s">
        <v>30</v>
      </c>
      <c r="I831" s="3" t="s">
        <v>26</v>
      </c>
      <c r="J831" s="5">
        <v>105509.05</v>
      </c>
    </row>
    <row r="832" spans="1:10" x14ac:dyDescent="0.3">
      <c r="A832" s="3" t="s">
        <v>906</v>
      </c>
      <c r="B832" s="4">
        <v>45892</v>
      </c>
      <c r="C832" s="3" t="s">
        <v>36</v>
      </c>
      <c r="D832" s="3" t="s">
        <v>18</v>
      </c>
      <c r="E832" s="3" t="s">
        <v>39</v>
      </c>
      <c r="F832" s="3" t="s">
        <v>170</v>
      </c>
      <c r="G832" s="5">
        <v>16.41</v>
      </c>
      <c r="H832" s="3" t="s">
        <v>30</v>
      </c>
      <c r="I832" s="3" t="s">
        <v>26</v>
      </c>
      <c r="J832" s="5">
        <v>105492.64</v>
      </c>
    </row>
    <row r="833" spans="1:10" x14ac:dyDescent="0.3">
      <c r="A833" s="3" t="s">
        <v>907</v>
      </c>
      <c r="B833" s="4">
        <v>45893</v>
      </c>
      <c r="C833" s="3" t="s">
        <v>11</v>
      </c>
      <c r="D833" s="3" t="s">
        <v>18</v>
      </c>
      <c r="E833" s="3" t="s">
        <v>28</v>
      </c>
      <c r="F833" s="3" t="s">
        <v>117</v>
      </c>
      <c r="G833" s="5">
        <v>54.57</v>
      </c>
      <c r="H833" s="3" t="s">
        <v>34</v>
      </c>
      <c r="I833" s="3" t="s">
        <v>26</v>
      </c>
      <c r="J833" s="5">
        <v>105438.07</v>
      </c>
    </row>
    <row r="834" spans="1:10" x14ac:dyDescent="0.3">
      <c r="A834" s="3" t="s">
        <v>908</v>
      </c>
      <c r="B834" s="4">
        <v>45895</v>
      </c>
      <c r="C834" s="3" t="s">
        <v>11</v>
      </c>
      <c r="D834" s="3" t="s">
        <v>18</v>
      </c>
      <c r="E834" s="3" t="s">
        <v>47</v>
      </c>
      <c r="F834" s="3" t="s">
        <v>48</v>
      </c>
      <c r="G834" s="5">
        <v>16.23</v>
      </c>
      <c r="H834" s="3" t="s">
        <v>34</v>
      </c>
      <c r="I834" s="3" t="s">
        <v>26</v>
      </c>
      <c r="J834" s="5">
        <v>105421.84</v>
      </c>
    </row>
    <row r="835" spans="1:10" x14ac:dyDescent="0.3">
      <c r="A835" s="3" t="s">
        <v>909</v>
      </c>
      <c r="B835" s="4">
        <v>45896</v>
      </c>
      <c r="C835" s="3" t="s">
        <v>36</v>
      </c>
      <c r="D835" s="3" t="s">
        <v>18</v>
      </c>
      <c r="E835" s="3" t="s">
        <v>28</v>
      </c>
      <c r="F835" s="3" t="s">
        <v>58</v>
      </c>
      <c r="G835" s="5">
        <v>46.74</v>
      </c>
      <c r="H835" s="3" t="s">
        <v>34</v>
      </c>
      <c r="I835" s="3" t="s">
        <v>26</v>
      </c>
      <c r="J835" s="5">
        <v>105375.1</v>
      </c>
    </row>
    <row r="836" spans="1:10" x14ac:dyDescent="0.3">
      <c r="A836" s="3" t="s">
        <v>910</v>
      </c>
      <c r="B836" s="4">
        <v>45896</v>
      </c>
      <c r="C836" s="3" t="s">
        <v>11</v>
      </c>
      <c r="D836" s="3" t="s">
        <v>18</v>
      </c>
      <c r="E836" s="3" t="s">
        <v>39</v>
      </c>
      <c r="F836" s="3" t="s">
        <v>89</v>
      </c>
      <c r="G836" s="5">
        <v>23.99</v>
      </c>
      <c r="H836" s="3" t="s">
        <v>30</v>
      </c>
      <c r="I836" s="3" t="s">
        <v>26</v>
      </c>
      <c r="J836" s="5">
        <v>105351.11</v>
      </c>
    </row>
    <row r="837" spans="1:10" x14ac:dyDescent="0.3">
      <c r="A837" s="3" t="s">
        <v>911</v>
      </c>
      <c r="B837" s="4">
        <v>45897</v>
      </c>
      <c r="C837" s="3" t="s">
        <v>36</v>
      </c>
      <c r="D837" s="3" t="s">
        <v>18</v>
      </c>
      <c r="E837" s="3" t="s">
        <v>23</v>
      </c>
      <c r="F837" s="3" t="s">
        <v>98</v>
      </c>
      <c r="G837" s="5">
        <v>46.85</v>
      </c>
      <c r="H837" s="3" t="s">
        <v>30</v>
      </c>
      <c r="I837" s="3" t="s">
        <v>26</v>
      </c>
      <c r="J837" s="5">
        <v>105304.26</v>
      </c>
    </row>
    <row r="838" spans="1:10" x14ac:dyDescent="0.3">
      <c r="A838" s="3" t="s">
        <v>912</v>
      </c>
      <c r="B838" s="4">
        <v>45900</v>
      </c>
      <c r="C838" s="3" t="s">
        <v>11</v>
      </c>
      <c r="D838" s="3" t="s">
        <v>18</v>
      </c>
      <c r="E838" s="3" t="s">
        <v>23</v>
      </c>
      <c r="F838" s="3" t="s">
        <v>124</v>
      </c>
      <c r="G838" s="5">
        <v>82.26</v>
      </c>
      <c r="H838" s="3" t="s">
        <v>25</v>
      </c>
      <c r="I838" s="3" t="s">
        <v>26</v>
      </c>
      <c r="J838" s="5">
        <v>105222</v>
      </c>
    </row>
    <row r="839" spans="1:10" x14ac:dyDescent="0.3">
      <c r="A839" s="3" t="s">
        <v>913</v>
      </c>
      <c r="B839" s="4">
        <v>45901</v>
      </c>
      <c r="C839" s="3" t="s">
        <v>11</v>
      </c>
      <c r="D839" s="3" t="s">
        <v>12</v>
      </c>
      <c r="E839" s="3" t="s">
        <v>13</v>
      </c>
      <c r="F839" s="3" t="s">
        <v>14</v>
      </c>
      <c r="G839" s="5">
        <v>3856.73</v>
      </c>
      <c r="H839" s="3" t="s">
        <v>15</v>
      </c>
      <c r="I839" s="3" t="s">
        <v>16</v>
      </c>
      <c r="J839" s="5">
        <v>109078.73</v>
      </c>
    </row>
    <row r="840" spans="1:10" x14ac:dyDescent="0.3">
      <c r="A840" s="3" t="s">
        <v>914</v>
      </c>
      <c r="B840" s="4">
        <v>45901</v>
      </c>
      <c r="C840" s="3" t="s">
        <v>11</v>
      </c>
      <c r="D840" s="3" t="s">
        <v>18</v>
      </c>
      <c r="E840" s="3" t="s">
        <v>19</v>
      </c>
      <c r="F840" s="3" t="s">
        <v>20</v>
      </c>
      <c r="G840" s="5">
        <v>2027.27</v>
      </c>
      <c r="H840" s="3" t="s">
        <v>21</v>
      </c>
      <c r="I840" s="3" t="s">
        <v>16</v>
      </c>
      <c r="J840" s="5">
        <v>107051.46</v>
      </c>
    </row>
    <row r="841" spans="1:10" x14ac:dyDescent="0.3">
      <c r="A841" s="3" t="s">
        <v>915</v>
      </c>
      <c r="B841" s="4">
        <v>45901</v>
      </c>
      <c r="C841" s="3" t="s">
        <v>36</v>
      </c>
      <c r="D841" s="3" t="s">
        <v>18</v>
      </c>
      <c r="E841" s="3" t="s">
        <v>39</v>
      </c>
      <c r="F841" s="3" t="s">
        <v>186</v>
      </c>
      <c r="G841" s="5">
        <v>37.86</v>
      </c>
      <c r="H841" s="3" t="s">
        <v>34</v>
      </c>
      <c r="I841" s="3" t="s">
        <v>26</v>
      </c>
      <c r="J841" s="5">
        <v>107013.6</v>
      </c>
    </row>
    <row r="842" spans="1:10" x14ac:dyDescent="0.3">
      <c r="A842" s="3" t="s">
        <v>916</v>
      </c>
      <c r="B842" s="4">
        <v>45902</v>
      </c>
      <c r="C842" s="3" t="s">
        <v>36</v>
      </c>
      <c r="D842" s="3" t="s">
        <v>18</v>
      </c>
      <c r="E842" s="3" t="s">
        <v>28</v>
      </c>
      <c r="F842" s="3" t="s">
        <v>79</v>
      </c>
      <c r="G842" s="5">
        <v>123.68</v>
      </c>
      <c r="H842" s="3" t="s">
        <v>34</v>
      </c>
      <c r="I842" s="3" t="s">
        <v>26</v>
      </c>
      <c r="J842" s="5">
        <v>106889.92</v>
      </c>
    </row>
    <row r="843" spans="1:10" x14ac:dyDescent="0.3">
      <c r="A843" s="3" t="s">
        <v>917</v>
      </c>
      <c r="B843" s="4">
        <v>45902</v>
      </c>
      <c r="C843" s="3" t="s">
        <v>11</v>
      </c>
      <c r="D843" s="3" t="s">
        <v>18</v>
      </c>
      <c r="E843" s="3" t="s">
        <v>39</v>
      </c>
      <c r="F843" s="3" t="s">
        <v>186</v>
      </c>
      <c r="G843" s="5">
        <v>67.930000000000007</v>
      </c>
      <c r="H843" s="3" t="s">
        <v>30</v>
      </c>
      <c r="I843" s="3" t="s">
        <v>26</v>
      </c>
      <c r="J843" s="5">
        <v>106821.99</v>
      </c>
    </row>
    <row r="844" spans="1:10" x14ac:dyDescent="0.3">
      <c r="A844" s="3" t="s">
        <v>918</v>
      </c>
      <c r="B844" s="4">
        <v>45903</v>
      </c>
      <c r="C844" s="3" t="s">
        <v>11</v>
      </c>
      <c r="D844" s="3" t="s">
        <v>12</v>
      </c>
      <c r="E844" s="3" t="s">
        <v>108</v>
      </c>
      <c r="F844" s="3" t="s">
        <v>127</v>
      </c>
      <c r="G844" s="5">
        <v>536.08000000000004</v>
      </c>
      <c r="H844" s="3" t="s">
        <v>183</v>
      </c>
      <c r="I844" s="3" t="s">
        <v>26</v>
      </c>
      <c r="J844" s="5">
        <v>107358.07</v>
      </c>
    </row>
    <row r="845" spans="1:10" x14ac:dyDescent="0.3">
      <c r="A845" s="3" t="s">
        <v>919</v>
      </c>
      <c r="B845" s="4">
        <v>45903</v>
      </c>
      <c r="C845" s="3" t="s">
        <v>11</v>
      </c>
      <c r="D845" s="3" t="s">
        <v>18</v>
      </c>
      <c r="E845" s="3" t="s">
        <v>23</v>
      </c>
      <c r="F845" s="3" t="s">
        <v>37</v>
      </c>
      <c r="G845" s="5">
        <v>53.61</v>
      </c>
      <c r="H845" s="3" t="s">
        <v>34</v>
      </c>
      <c r="I845" s="3" t="s">
        <v>26</v>
      </c>
      <c r="J845" s="5">
        <v>107304.46</v>
      </c>
    </row>
    <row r="846" spans="1:10" x14ac:dyDescent="0.3">
      <c r="A846" s="3" t="s">
        <v>920</v>
      </c>
      <c r="B846" s="4">
        <v>45904</v>
      </c>
      <c r="C846" s="3" t="s">
        <v>11</v>
      </c>
      <c r="D846" s="3" t="s">
        <v>18</v>
      </c>
      <c r="E846" s="3" t="s">
        <v>28</v>
      </c>
      <c r="F846" s="3" t="s">
        <v>74</v>
      </c>
      <c r="G846" s="5">
        <v>21.58</v>
      </c>
      <c r="H846" s="3" t="s">
        <v>34</v>
      </c>
      <c r="I846" s="3" t="s">
        <v>26</v>
      </c>
      <c r="J846" s="5">
        <v>107282.88</v>
      </c>
    </row>
    <row r="847" spans="1:10" x14ac:dyDescent="0.3">
      <c r="A847" s="3" t="s">
        <v>921</v>
      </c>
      <c r="B847" s="4">
        <v>45905</v>
      </c>
      <c r="C847" s="3" t="s">
        <v>36</v>
      </c>
      <c r="D847" s="3" t="s">
        <v>18</v>
      </c>
      <c r="E847" s="3" t="s">
        <v>23</v>
      </c>
      <c r="F847" s="3" t="s">
        <v>135</v>
      </c>
      <c r="G847" s="5">
        <v>70.930000000000007</v>
      </c>
      <c r="H847" s="3" t="s">
        <v>34</v>
      </c>
      <c r="I847" s="3" t="s">
        <v>26</v>
      </c>
      <c r="J847" s="5">
        <v>107211.95</v>
      </c>
    </row>
    <row r="848" spans="1:10" x14ac:dyDescent="0.3">
      <c r="A848" s="3" t="s">
        <v>922</v>
      </c>
      <c r="B848" s="4">
        <v>45906</v>
      </c>
      <c r="C848" s="3" t="s">
        <v>126</v>
      </c>
      <c r="D848" s="3" t="s">
        <v>12</v>
      </c>
      <c r="E848" s="3" t="s">
        <v>108</v>
      </c>
      <c r="F848" s="3" t="s">
        <v>127</v>
      </c>
      <c r="G848" s="5">
        <v>1381.38</v>
      </c>
      <c r="H848" s="3" t="s">
        <v>183</v>
      </c>
      <c r="I848" s="3" t="s">
        <v>26</v>
      </c>
      <c r="J848" s="5">
        <v>108593.33</v>
      </c>
    </row>
    <row r="849" spans="1:10" x14ac:dyDescent="0.3">
      <c r="A849" s="3" t="s">
        <v>923</v>
      </c>
      <c r="B849" s="4">
        <v>45906</v>
      </c>
      <c r="C849" s="3" t="s">
        <v>36</v>
      </c>
      <c r="D849" s="3" t="s">
        <v>18</v>
      </c>
      <c r="E849" s="3" t="s">
        <v>43</v>
      </c>
      <c r="F849" s="3" t="s">
        <v>151</v>
      </c>
      <c r="G849" s="5">
        <v>160.31</v>
      </c>
      <c r="H849" s="3" t="s">
        <v>21</v>
      </c>
      <c r="I849" s="3" t="s">
        <v>16</v>
      </c>
      <c r="J849" s="5">
        <v>108433.02</v>
      </c>
    </row>
    <row r="850" spans="1:10" x14ac:dyDescent="0.3">
      <c r="A850" s="3" t="s">
        <v>924</v>
      </c>
      <c r="B850" s="4">
        <v>45906</v>
      </c>
      <c r="C850" s="3" t="s">
        <v>11</v>
      </c>
      <c r="D850" s="3" t="s">
        <v>18</v>
      </c>
      <c r="E850" s="3" t="s">
        <v>28</v>
      </c>
      <c r="F850" s="3" t="s">
        <v>58</v>
      </c>
      <c r="G850" s="5">
        <v>46.03</v>
      </c>
      <c r="H850" s="3" t="s">
        <v>30</v>
      </c>
      <c r="I850" s="3" t="s">
        <v>26</v>
      </c>
      <c r="J850" s="5">
        <v>108386.99</v>
      </c>
    </row>
    <row r="851" spans="1:10" x14ac:dyDescent="0.3">
      <c r="A851" s="3" t="s">
        <v>925</v>
      </c>
      <c r="B851" s="4">
        <v>45907</v>
      </c>
      <c r="C851" s="3" t="s">
        <v>11</v>
      </c>
      <c r="D851" s="3" t="s">
        <v>18</v>
      </c>
      <c r="E851" s="3" t="s">
        <v>43</v>
      </c>
      <c r="F851" s="3" t="s">
        <v>50</v>
      </c>
      <c r="G851" s="5">
        <v>115.89</v>
      </c>
      <c r="H851" s="3" t="s">
        <v>21</v>
      </c>
      <c r="I851" s="3" t="s">
        <v>16</v>
      </c>
      <c r="J851" s="5">
        <v>108271.1</v>
      </c>
    </row>
    <row r="852" spans="1:10" x14ac:dyDescent="0.3">
      <c r="A852" s="3" t="s">
        <v>926</v>
      </c>
      <c r="B852" s="4">
        <v>45907</v>
      </c>
      <c r="C852" s="3" t="s">
        <v>11</v>
      </c>
      <c r="D852" s="3" t="s">
        <v>18</v>
      </c>
      <c r="E852" s="3" t="s">
        <v>28</v>
      </c>
      <c r="F852" s="3" t="s">
        <v>117</v>
      </c>
      <c r="G852" s="5">
        <v>56.53</v>
      </c>
      <c r="H852" s="3" t="s">
        <v>34</v>
      </c>
      <c r="I852" s="3" t="s">
        <v>26</v>
      </c>
      <c r="J852" s="5">
        <v>108214.57</v>
      </c>
    </row>
    <row r="853" spans="1:10" x14ac:dyDescent="0.3">
      <c r="A853" s="3" t="s">
        <v>927</v>
      </c>
      <c r="B853" s="4">
        <v>45907</v>
      </c>
      <c r="C853" s="3" t="s">
        <v>11</v>
      </c>
      <c r="D853" s="3" t="s">
        <v>18</v>
      </c>
      <c r="E853" s="3" t="s">
        <v>23</v>
      </c>
      <c r="F853" s="3" t="s">
        <v>135</v>
      </c>
      <c r="G853" s="5">
        <v>74.489999999999995</v>
      </c>
      <c r="H853" s="3" t="s">
        <v>34</v>
      </c>
      <c r="I853" s="3" t="s">
        <v>26</v>
      </c>
      <c r="J853" s="5">
        <v>108140.08</v>
      </c>
    </row>
    <row r="854" spans="1:10" x14ac:dyDescent="0.3">
      <c r="A854" s="3" t="s">
        <v>928</v>
      </c>
      <c r="B854" s="4">
        <v>45907</v>
      </c>
      <c r="C854" s="3" t="s">
        <v>36</v>
      </c>
      <c r="D854" s="3" t="s">
        <v>18</v>
      </c>
      <c r="E854" s="3" t="s">
        <v>47</v>
      </c>
      <c r="F854" s="3" t="s">
        <v>56</v>
      </c>
      <c r="G854" s="5">
        <v>5.48</v>
      </c>
      <c r="H854" s="3" t="s">
        <v>25</v>
      </c>
      <c r="I854" s="3" t="s">
        <v>26</v>
      </c>
      <c r="J854" s="5">
        <v>108134.6</v>
      </c>
    </row>
    <row r="855" spans="1:10" x14ac:dyDescent="0.3">
      <c r="A855" s="3" t="s">
        <v>929</v>
      </c>
      <c r="B855" s="4">
        <v>45907</v>
      </c>
      <c r="C855" s="3" t="s">
        <v>11</v>
      </c>
      <c r="D855" s="3" t="s">
        <v>18</v>
      </c>
      <c r="E855" s="3" t="s">
        <v>39</v>
      </c>
      <c r="F855" s="3" t="s">
        <v>179</v>
      </c>
      <c r="G855" s="5">
        <v>79.319999999999993</v>
      </c>
      <c r="H855" s="3" t="s">
        <v>30</v>
      </c>
      <c r="I855" s="3" t="s">
        <v>26</v>
      </c>
      <c r="J855" s="5">
        <v>108055.28</v>
      </c>
    </row>
    <row r="856" spans="1:10" x14ac:dyDescent="0.3">
      <c r="A856" s="3" t="s">
        <v>930</v>
      </c>
      <c r="B856" s="4">
        <v>45909</v>
      </c>
      <c r="C856" s="3" t="s">
        <v>126</v>
      </c>
      <c r="D856" s="3" t="s">
        <v>12</v>
      </c>
      <c r="E856" s="3" t="s">
        <v>108</v>
      </c>
      <c r="F856" s="3" t="s">
        <v>127</v>
      </c>
      <c r="G856" s="5">
        <v>730.28</v>
      </c>
      <c r="H856" s="3" t="s">
        <v>183</v>
      </c>
      <c r="I856" s="3" t="s">
        <v>26</v>
      </c>
      <c r="J856" s="5">
        <v>108785.56</v>
      </c>
    </row>
    <row r="857" spans="1:10" x14ac:dyDescent="0.3">
      <c r="A857" s="3" t="s">
        <v>931</v>
      </c>
      <c r="B857" s="4">
        <v>45909</v>
      </c>
      <c r="C857" s="3" t="s">
        <v>36</v>
      </c>
      <c r="D857" s="3" t="s">
        <v>18</v>
      </c>
      <c r="E857" s="3" t="s">
        <v>43</v>
      </c>
      <c r="F857" s="3" t="s">
        <v>44</v>
      </c>
      <c r="G857" s="5">
        <v>120.01</v>
      </c>
      <c r="H857" s="3" t="s">
        <v>21</v>
      </c>
      <c r="I857" s="3" t="s">
        <v>16</v>
      </c>
      <c r="J857" s="5">
        <v>108665.55</v>
      </c>
    </row>
    <row r="858" spans="1:10" x14ac:dyDescent="0.3">
      <c r="A858" s="3" t="s">
        <v>932</v>
      </c>
      <c r="B858" s="4">
        <v>45909</v>
      </c>
      <c r="C858" s="3" t="s">
        <v>11</v>
      </c>
      <c r="D858" s="3" t="s">
        <v>18</v>
      </c>
      <c r="E858" s="3" t="s">
        <v>47</v>
      </c>
      <c r="F858" s="3" t="s">
        <v>82</v>
      </c>
      <c r="G858" s="5">
        <v>28.52</v>
      </c>
      <c r="H858" s="3" t="s">
        <v>25</v>
      </c>
      <c r="I858" s="3" t="s">
        <v>26</v>
      </c>
      <c r="J858" s="5">
        <v>108637.03</v>
      </c>
    </row>
    <row r="859" spans="1:10" x14ac:dyDescent="0.3">
      <c r="A859" s="3" t="s">
        <v>933</v>
      </c>
      <c r="B859" s="4">
        <v>45910</v>
      </c>
      <c r="C859" s="3" t="s">
        <v>11</v>
      </c>
      <c r="D859" s="3" t="s">
        <v>18</v>
      </c>
      <c r="E859" s="3" t="s">
        <v>28</v>
      </c>
      <c r="F859" s="3" t="s">
        <v>52</v>
      </c>
      <c r="G859" s="5">
        <v>116.97</v>
      </c>
      <c r="H859" s="3" t="s">
        <v>34</v>
      </c>
      <c r="I859" s="3" t="s">
        <v>26</v>
      </c>
      <c r="J859" s="5">
        <v>108520.06</v>
      </c>
    </row>
    <row r="860" spans="1:10" x14ac:dyDescent="0.3">
      <c r="A860" s="3" t="s">
        <v>934</v>
      </c>
      <c r="B860" s="4">
        <v>45912</v>
      </c>
      <c r="C860" s="3" t="s">
        <v>11</v>
      </c>
      <c r="D860" s="3" t="s">
        <v>18</v>
      </c>
      <c r="E860" s="3" t="s">
        <v>28</v>
      </c>
      <c r="F860" s="3" t="s">
        <v>79</v>
      </c>
      <c r="G860" s="5">
        <v>64.13</v>
      </c>
      <c r="H860" s="3" t="s">
        <v>34</v>
      </c>
      <c r="I860" s="3" t="s">
        <v>26</v>
      </c>
      <c r="J860" s="5">
        <v>108455.93</v>
      </c>
    </row>
    <row r="861" spans="1:10" x14ac:dyDescent="0.3">
      <c r="A861" s="3" t="s">
        <v>935</v>
      </c>
      <c r="B861" s="4">
        <v>45912</v>
      </c>
      <c r="C861" s="3" t="s">
        <v>11</v>
      </c>
      <c r="D861" s="3" t="s">
        <v>18</v>
      </c>
      <c r="E861" s="3" t="s">
        <v>23</v>
      </c>
      <c r="F861" s="3" t="s">
        <v>37</v>
      </c>
      <c r="G861" s="5">
        <v>59.82</v>
      </c>
      <c r="H861" s="3" t="s">
        <v>25</v>
      </c>
      <c r="I861" s="3" t="s">
        <v>26</v>
      </c>
      <c r="J861" s="5">
        <v>108396.11</v>
      </c>
    </row>
    <row r="862" spans="1:10" x14ac:dyDescent="0.3">
      <c r="A862" s="3" t="s">
        <v>936</v>
      </c>
      <c r="B862" s="4">
        <v>45912</v>
      </c>
      <c r="C862" s="3" t="s">
        <v>11</v>
      </c>
      <c r="D862" s="3" t="s">
        <v>18</v>
      </c>
      <c r="E862" s="3" t="s">
        <v>47</v>
      </c>
      <c r="F862" s="3" t="s">
        <v>60</v>
      </c>
      <c r="G862" s="5">
        <v>25.65</v>
      </c>
      <c r="H862" s="3" t="s">
        <v>34</v>
      </c>
      <c r="I862" s="3" t="s">
        <v>26</v>
      </c>
      <c r="J862" s="5">
        <v>108370.46</v>
      </c>
    </row>
    <row r="863" spans="1:10" x14ac:dyDescent="0.3">
      <c r="A863" s="3" t="s">
        <v>937</v>
      </c>
      <c r="B863" s="4">
        <v>45912</v>
      </c>
      <c r="C863" s="3" t="s">
        <v>36</v>
      </c>
      <c r="D863" s="3" t="s">
        <v>18</v>
      </c>
      <c r="E863" s="3" t="s">
        <v>39</v>
      </c>
      <c r="F863" s="3" t="s">
        <v>89</v>
      </c>
      <c r="G863" s="5">
        <v>12.24</v>
      </c>
      <c r="H863" s="3" t="s">
        <v>30</v>
      </c>
      <c r="I863" s="3" t="s">
        <v>26</v>
      </c>
      <c r="J863" s="5">
        <v>108358.22</v>
      </c>
    </row>
    <row r="864" spans="1:10" x14ac:dyDescent="0.3">
      <c r="A864" s="3" t="s">
        <v>938</v>
      </c>
      <c r="B864" s="4">
        <v>45913</v>
      </c>
      <c r="C864" s="3" t="s">
        <v>36</v>
      </c>
      <c r="D864" s="3" t="s">
        <v>18</v>
      </c>
      <c r="E864" s="3" t="s">
        <v>28</v>
      </c>
      <c r="F864" s="3" t="s">
        <v>117</v>
      </c>
      <c r="G864" s="5">
        <v>145.53</v>
      </c>
      <c r="H864" s="3" t="s">
        <v>34</v>
      </c>
      <c r="I864" s="3" t="s">
        <v>26</v>
      </c>
      <c r="J864" s="5">
        <v>108212.69</v>
      </c>
    </row>
    <row r="865" spans="1:10" x14ac:dyDescent="0.3">
      <c r="A865" s="3" t="s">
        <v>939</v>
      </c>
      <c r="B865" s="4">
        <v>45913</v>
      </c>
      <c r="C865" s="3" t="s">
        <v>11</v>
      </c>
      <c r="D865" s="3" t="s">
        <v>18</v>
      </c>
      <c r="E865" s="3" t="s">
        <v>39</v>
      </c>
      <c r="F865" s="3" t="s">
        <v>179</v>
      </c>
      <c r="G865" s="5">
        <v>89.46</v>
      </c>
      <c r="H865" s="3" t="s">
        <v>30</v>
      </c>
      <c r="I865" s="3" t="s">
        <v>26</v>
      </c>
      <c r="J865" s="5">
        <v>108123.23</v>
      </c>
    </row>
    <row r="866" spans="1:10" x14ac:dyDescent="0.3">
      <c r="A866" s="3" t="s">
        <v>940</v>
      </c>
      <c r="B866" s="4">
        <v>45915</v>
      </c>
      <c r="C866" s="3" t="s">
        <v>11</v>
      </c>
      <c r="D866" s="3" t="s">
        <v>12</v>
      </c>
      <c r="E866" s="3" t="s">
        <v>13</v>
      </c>
      <c r="F866" s="3" t="s">
        <v>239</v>
      </c>
      <c r="G866" s="5">
        <v>4556.1499999999996</v>
      </c>
      <c r="H866" s="3" t="s">
        <v>15</v>
      </c>
      <c r="I866" s="3" t="s">
        <v>16</v>
      </c>
      <c r="J866" s="5">
        <v>112679.38</v>
      </c>
    </row>
    <row r="867" spans="1:10" x14ac:dyDescent="0.3">
      <c r="A867" s="3" t="s">
        <v>941</v>
      </c>
      <c r="B867" s="4">
        <v>45915</v>
      </c>
      <c r="C867" s="3" t="s">
        <v>36</v>
      </c>
      <c r="D867" s="3" t="s">
        <v>18</v>
      </c>
      <c r="E867" s="3" t="s">
        <v>28</v>
      </c>
      <c r="F867" s="3" t="s">
        <v>79</v>
      </c>
      <c r="G867" s="5">
        <v>53.49</v>
      </c>
      <c r="H867" s="3" t="s">
        <v>30</v>
      </c>
      <c r="I867" s="3" t="s">
        <v>26</v>
      </c>
      <c r="J867" s="5">
        <v>112625.89</v>
      </c>
    </row>
    <row r="868" spans="1:10" x14ac:dyDescent="0.3">
      <c r="A868" s="3" t="s">
        <v>942</v>
      </c>
      <c r="B868" s="4">
        <v>45916</v>
      </c>
      <c r="C868" s="3" t="s">
        <v>11</v>
      </c>
      <c r="D868" s="3" t="s">
        <v>18</v>
      </c>
      <c r="E868" s="3" t="s">
        <v>28</v>
      </c>
      <c r="F868" s="3" t="s">
        <v>52</v>
      </c>
      <c r="G868" s="5">
        <v>164.46</v>
      </c>
      <c r="H868" s="3" t="s">
        <v>34</v>
      </c>
      <c r="I868" s="3" t="s">
        <v>26</v>
      </c>
      <c r="J868" s="5">
        <v>112461.43</v>
      </c>
    </row>
    <row r="869" spans="1:10" x14ac:dyDescent="0.3">
      <c r="A869" s="3" t="s">
        <v>943</v>
      </c>
      <c r="B869" s="4">
        <v>45918</v>
      </c>
      <c r="C869" s="3" t="s">
        <v>36</v>
      </c>
      <c r="D869" s="3" t="s">
        <v>18</v>
      </c>
      <c r="E869" s="3" t="s">
        <v>23</v>
      </c>
      <c r="F869" s="3" t="s">
        <v>32</v>
      </c>
      <c r="G869" s="5">
        <v>20.66</v>
      </c>
      <c r="H869" s="3" t="s">
        <v>30</v>
      </c>
      <c r="I869" s="3" t="s">
        <v>26</v>
      </c>
      <c r="J869" s="5">
        <v>112440.77</v>
      </c>
    </row>
    <row r="870" spans="1:10" x14ac:dyDescent="0.3">
      <c r="A870" s="3" t="s">
        <v>944</v>
      </c>
      <c r="B870" s="4">
        <v>45919</v>
      </c>
      <c r="C870" s="3" t="s">
        <v>11</v>
      </c>
      <c r="D870" s="3" t="s">
        <v>18</v>
      </c>
      <c r="E870" s="3" t="s">
        <v>47</v>
      </c>
      <c r="F870" s="3" t="s">
        <v>69</v>
      </c>
      <c r="G870" s="5">
        <v>16.170000000000002</v>
      </c>
      <c r="H870" s="3" t="s">
        <v>30</v>
      </c>
      <c r="I870" s="3" t="s">
        <v>26</v>
      </c>
      <c r="J870" s="5">
        <v>112424.6</v>
      </c>
    </row>
    <row r="871" spans="1:10" x14ac:dyDescent="0.3">
      <c r="A871" s="3" t="s">
        <v>945</v>
      </c>
      <c r="B871" s="4">
        <v>45920</v>
      </c>
      <c r="C871" s="3" t="s">
        <v>11</v>
      </c>
      <c r="D871" s="3" t="s">
        <v>18</v>
      </c>
      <c r="E871" s="3" t="s">
        <v>28</v>
      </c>
      <c r="F871" s="3" t="s">
        <v>117</v>
      </c>
      <c r="G871" s="5">
        <v>117.71</v>
      </c>
      <c r="H871" s="3" t="s">
        <v>30</v>
      </c>
      <c r="I871" s="3" t="s">
        <v>26</v>
      </c>
      <c r="J871" s="5">
        <v>112306.89</v>
      </c>
    </row>
    <row r="872" spans="1:10" x14ac:dyDescent="0.3">
      <c r="A872" s="3" t="s">
        <v>946</v>
      </c>
      <c r="B872" s="4">
        <v>45920</v>
      </c>
      <c r="C872" s="3" t="s">
        <v>11</v>
      </c>
      <c r="D872" s="3" t="s">
        <v>18</v>
      </c>
      <c r="E872" s="3" t="s">
        <v>47</v>
      </c>
      <c r="F872" s="3" t="s">
        <v>60</v>
      </c>
      <c r="G872" s="5">
        <v>45.76</v>
      </c>
      <c r="H872" s="3" t="s">
        <v>34</v>
      </c>
      <c r="I872" s="3" t="s">
        <v>26</v>
      </c>
      <c r="J872" s="5">
        <v>112261.13</v>
      </c>
    </row>
    <row r="873" spans="1:10" x14ac:dyDescent="0.3">
      <c r="A873" s="3" t="s">
        <v>947</v>
      </c>
      <c r="B873" s="4">
        <v>45921</v>
      </c>
      <c r="C873" s="3" t="s">
        <v>11</v>
      </c>
      <c r="D873" s="3" t="s">
        <v>18</v>
      </c>
      <c r="E873" s="3" t="s">
        <v>39</v>
      </c>
      <c r="F873" s="3" t="s">
        <v>186</v>
      </c>
      <c r="G873" s="5">
        <v>51.26</v>
      </c>
      <c r="H873" s="3" t="s">
        <v>30</v>
      </c>
      <c r="I873" s="3" t="s">
        <v>26</v>
      </c>
      <c r="J873" s="5">
        <v>112209.87</v>
      </c>
    </row>
    <row r="874" spans="1:10" x14ac:dyDescent="0.3">
      <c r="A874" s="3" t="s">
        <v>948</v>
      </c>
      <c r="B874" s="4">
        <v>45925</v>
      </c>
      <c r="C874" s="3" t="s">
        <v>11</v>
      </c>
      <c r="D874" s="3" t="s">
        <v>18</v>
      </c>
      <c r="E874" s="3" t="s">
        <v>28</v>
      </c>
      <c r="F874" s="3" t="s">
        <v>29</v>
      </c>
      <c r="G874" s="5">
        <v>68.84</v>
      </c>
      <c r="H874" s="3" t="s">
        <v>30</v>
      </c>
      <c r="I874" s="3" t="s">
        <v>26</v>
      </c>
      <c r="J874" s="5">
        <v>112141.03</v>
      </c>
    </row>
    <row r="875" spans="1:10" x14ac:dyDescent="0.3">
      <c r="A875" s="3" t="s">
        <v>949</v>
      </c>
      <c r="B875" s="4">
        <v>45925</v>
      </c>
      <c r="C875" s="3" t="s">
        <v>11</v>
      </c>
      <c r="D875" s="3" t="s">
        <v>18</v>
      </c>
      <c r="E875" s="3" t="s">
        <v>23</v>
      </c>
      <c r="F875" s="3" t="s">
        <v>37</v>
      </c>
      <c r="G875" s="5">
        <v>45.91</v>
      </c>
      <c r="H875" s="3" t="s">
        <v>30</v>
      </c>
      <c r="I875" s="3" t="s">
        <v>26</v>
      </c>
      <c r="J875" s="5">
        <v>112095.12</v>
      </c>
    </row>
    <row r="876" spans="1:10" x14ac:dyDescent="0.3">
      <c r="A876" s="3" t="s">
        <v>950</v>
      </c>
      <c r="B876" s="4">
        <v>45925</v>
      </c>
      <c r="C876" s="3" t="s">
        <v>11</v>
      </c>
      <c r="D876" s="3" t="s">
        <v>18</v>
      </c>
      <c r="E876" s="3" t="s">
        <v>47</v>
      </c>
      <c r="F876" s="3" t="s">
        <v>60</v>
      </c>
      <c r="G876" s="5">
        <v>47.56</v>
      </c>
      <c r="H876" s="3" t="s">
        <v>25</v>
      </c>
      <c r="I876" s="3" t="s">
        <v>26</v>
      </c>
      <c r="J876" s="5">
        <v>112047.56</v>
      </c>
    </row>
    <row r="877" spans="1:10" x14ac:dyDescent="0.3">
      <c r="A877" s="3" t="s">
        <v>951</v>
      </c>
      <c r="B877" s="4">
        <v>45926</v>
      </c>
      <c r="C877" s="3" t="s">
        <v>11</v>
      </c>
      <c r="D877" s="3" t="s">
        <v>18</v>
      </c>
      <c r="E877" s="3" t="s">
        <v>23</v>
      </c>
      <c r="F877" s="3" t="s">
        <v>54</v>
      </c>
      <c r="G877" s="5">
        <v>81.08</v>
      </c>
      <c r="H877" s="3" t="s">
        <v>34</v>
      </c>
      <c r="I877" s="3" t="s">
        <v>26</v>
      </c>
      <c r="J877" s="5">
        <v>111966.48</v>
      </c>
    </row>
    <row r="878" spans="1:10" x14ac:dyDescent="0.3">
      <c r="A878" s="3" t="s">
        <v>952</v>
      </c>
      <c r="B878" s="4">
        <v>45927</v>
      </c>
      <c r="C878" s="3" t="s">
        <v>36</v>
      </c>
      <c r="D878" s="3" t="s">
        <v>18</v>
      </c>
      <c r="E878" s="3" t="s">
        <v>23</v>
      </c>
      <c r="F878" s="3" t="s">
        <v>124</v>
      </c>
      <c r="G878" s="5">
        <v>22.56</v>
      </c>
      <c r="H878" s="3" t="s">
        <v>25</v>
      </c>
      <c r="I878" s="3" t="s">
        <v>26</v>
      </c>
      <c r="J878" s="5">
        <v>111943.92</v>
      </c>
    </row>
    <row r="879" spans="1:10" x14ac:dyDescent="0.3">
      <c r="A879" s="3" t="s">
        <v>953</v>
      </c>
      <c r="B879" s="4">
        <v>45928</v>
      </c>
      <c r="C879" s="3" t="s">
        <v>36</v>
      </c>
      <c r="D879" s="3" t="s">
        <v>18</v>
      </c>
      <c r="E879" s="3" t="s">
        <v>47</v>
      </c>
      <c r="F879" s="3" t="s">
        <v>60</v>
      </c>
      <c r="G879" s="5">
        <v>55.34</v>
      </c>
      <c r="H879" s="3" t="s">
        <v>30</v>
      </c>
      <c r="I879" s="3" t="s">
        <v>26</v>
      </c>
      <c r="J879" s="5">
        <v>111888.58</v>
      </c>
    </row>
    <row r="880" spans="1:10" x14ac:dyDescent="0.3">
      <c r="A880" s="3" t="s">
        <v>954</v>
      </c>
      <c r="B880" s="4">
        <v>45929</v>
      </c>
      <c r="C880" s="3" t="s">
        <v>36</v>
      </c>
      <c r="D880" s="3" t="s">
        <v>18</v>
      </c>
      <c r="E880" s="3" t="s">
        <v>23</v>
      </c>
      <c r="F880" s="3" t="s">
        <v>32</v>
      </c>
      <c r="G880" s="5">
        <v>70.569999999999993</v>
      </c>
      <c r="H880" s="3" t="s">
        <v>25</v>
      </c>
      <c r="I880" s="3" t="s">
        <v>26</v>
      </c>
      <c r="J880" s="5">
        <v>111818.01</v>
      </c>
    </row>
    <row r="881" spans="1:10" x14ac:dyDescent="0.3">
      <c r="A881" s="3" t="s">
        <v>955</v>
      </c>
      <c r="B881" s="4">
        <v>45930</v>
      </c>
      <c r="C881" s="3" t="s">
        <v>11</v>
      </c>
      <c r="D881" s="3" t="s">
        <v>18</v>
      </c>
      <c r="E881" s="3" t="s">
        <v>39</v>
      </c>
      <c r="F881" s="3" t="s">
        <v>186</v>
      </c>
      <c r="G881" s="5">
        <v>95.01</v>
      </c>
      <c r="H881" s="3" t="s">
        <v>34</v>
      </c>
      <c r="I881" s="3" t="s">
        <v>26</v>
      </c>
      <c r="J881" s="5">
        <v>111723</v>
      </c>
    </row>
    <row r="882" spans="1:10" x14ac:dyDescent="0.3">
      <c r="A882" s="3" t="s">
        <v>956</v>
      </c>
      <c r="B882" s="4">
        <v>45931</v>
      </c>
      <c r="C882" s="3" t="s">
        <v>11</v>
      </c>
      <c r="D882" s="3" t="s">
        <v>18</v>
      </c>
      <c r="E882" s="3" t="s">
        <v>19</v>
      </c>
      <c r="F882" s="3" t="s">
        <v>20</v>
      </c>
      <c r="G882" s="5">
        <v>1689.14</v>
      </c>
      <c r="H882" s="3" t="s">
        <v>21</v>
      </c>
      <c r="I882" s="3" t="s">
        <v>16</v>
      </c>
      <c r="J882" s="5">
        <v>110033.86</v>
      </c>
    </row>
    <row r="883" spans="1:10" x14ac:dyDescent="0.3">
      <c r="A883" s="3" t="s">
        <v>957</v>
      </c>
      <c r="B883" s="4">
        <v>45931</v>
      </c>
      <c r="C883" s="3" t="s">
        <v>11</v>
      </c>
      <c r="D883" s="3" t="s">
        <v>18</v>
      </c>
      <c r="E883" s="3" t="s">
        <v>28</v>
      </c>
      <c r="F883" s="3" t="s">
        <v>29</v>
      </c>
      <c r="G883" s="5">
        <v>168.52</v>
      </c>
      <c r="H883" s="3" t="s">
        <v>34</v>
      </c>
      <c r="I883" s="3" t="s">
        <v>26</v>
      </c>
      <c r="J883" s="5">
        <v>109865.34</v>
      </c>
    </row>
    <row r="884" spans="1:10" x14ac:dyDescent="0.3">
      <c r="A884" s="3" t="s">
        <v>958</v>
      </c>
      <c r="B884" s="4">
        <v>45932</v>
      </c>
      <c r="C884" s="3" t="s">
        <v>36</v>
      </c>
      <c r="D884" s="3" t="s">
        <v>18</v>
      </c>
      <c r="E884" s="3" t="s">
        <v>28</v>
      </c>
      <c r="F884" s="3" t="s">
        <v>29</v>
      </c>
      <c r="G884" s="5">
        <v>21.53</v>
      </c>
      <c r="H884" s="3" t="s">
        <v>34</v>
      </c>
      <c r="I884" s="3" t="s">
        <v>26</v>
      </c>
      <c r="J884" s="5">
        <v>109843.81</v>
      </c>
    </row>
    <row r="885" spans="1:10" x14ac:dyDescent="0.3">
      <c r="A885" s="3" t="s">
        <v>959</v>
      </c>
      <c r="B885" s="4">
        <v>45932</v>
      </c>
      <c r="C885" s="3" t="s">
        <v>11</v>
      </c>
      <c r="D885" s="3" t="s">
        <v>18</v>
      </c>
      <c r="E885" s="3" t="s">
        <v>47</v>
      </c>
      <c r="F885" s="3" t="s">
        <v>91</v>
      </c>
      <c r="G885" s="5">
        <v>58.85</v>
      </c>
      <c r="H885" s="3" t="s">
        <v>30</v>
      </c>
      <c r="I885" s="3" t="s">
        <v>26</v>
      </c>
      <c r="J885" s="5">
        <v>109784.96000000001</v>
      </c>
    </row>
    <row r="886" spans="1:10" x14ac:dyDescent="0.3">
      <c r="A886" s="3" t="s">
        <v>960</v>
      </c>
      <c r="B886" s="4">
        <v>45933</v>
      </c>
      <c r="C886" s="3" t="s">
        <v>36</v>
      </c>
      <c r="D886" s="3" t="s">
        <v>18</v>
      </c>
      <c r="E886" s="3" t="s">
        <v>23</v>
      </c>
      <c r="F886" s="3" t="s">
        <v>54</v>
      </c>
      <c r="G886" s="5">
        <v>9.19</v>
      </c>
      <c r="H886" s="3" t="s">
        <v>25</v>
      </c>
      <c r="I886" s="3" t="s">
        <v>26</v>
      </c>
      <c r="J886" s="5">
        <v>109775.77</v>
      </c>
    </row>
    <row r="887" spans="1:10" x14ac:dyDescent="0.3">
      <c r="A887" s="3" t="s">
        <v>961</v>
      </c>
      <c r="B887" s="4">
        <v>45935</v>
      </c>
      <c r="C887" s="3" t="s">
        <v>11</v>
      </c>
      <c r="D887" s="3" t="s">
        <v>18</v>
      </c>
      <c r="E887" s="3" t="s">
        <v>23</v>
      </c>
      <c r="F887" s="3" t="s">
        <v>76</v>
      </c>
      <c r="G887" s="5">
        <v>45.65</v>
      </c>
      <c r="H887" s="3" t="s">
        <v>34</v>
      </c>
      <c r="I887" s="3" t="s">
        <v>26</v>
      </c>
      <c r="J887" s="5">
        <v>109730.12</v>
      </c>
    </row>
    <row r="888" spans="1:10" x14ac:dyDescent="0.3">
      <c r="A888" s="3" t="s">
        <v>962</v>
      </c>
      <c r="B888" s="4">
        <v>45935</v>
      </c>
      <c r="C888" s="3" t="s">
        <v>36</v>
      </c>
      <c r="D888" s="3" t="s">
        <v>18</v>
      </c>
      <c r="E888" s="3" t="s">
        <v>47</v>
      </c>
      <c r="F888" s="3" t="s">
        <v>69</v>
      </c>
      <c r="G888" s="5">
        <v>46.14</v>
      </c>
      <c r="H888" s="3" t="s">
        <v>30</v>
      </c>
      <c r="I888" s="3" t="s">
        <v>26</v>
      </c>
      <c r="J888" s="5">
        <v>109683.98</v>
      </c>
    </row>
    <row r="889" spans="1:10" x14ac:dyDescent="0.3">
      <c r="A889" s="3" t="s">
        <v>963</v>
      </c>
      <c r="B889" s="4">
        <v>45936</v>
      </c>
      <c r="C889" s="3" t="s">
        <v>36</v>
      </c>
      <c r="D889" s="3" t="s">
        <v>18</v>
      </c>
      <c r="E889" s="3" t="s">
        <v>43</v>
      </c>
      <c r="F889" s="3" t="s">
        <v>103</v>
      </c>
      <c r="G889" s="5">
        <v>69.67</v>
      </c>
      <c r="H889" s="3" t="s">
        <v>21</v>
      </c>
      <c r="I889" s="3" t="s">
        <v>16</v>
      </c>
      <c r="J889" s="5">
        <v>109614.31</v>
      </c>
    </row>
    <row r="890" spans="1:10" x14ac:dyDescent="0.3">
      <c r="A890" s="3" t="s">
        <v>964</v>
      </c>
      <c r="B890" s="4">
        <v>45936</v>
      </c>
      <c r="C890" s="3" t="s">
        <v>36</v>
      </c>
      <c r="D890" s="3" t="s">
        <v>18</v>
      </c>
      <c r="E890" s="3" t="s">
        <v>23</v>
      </c>
      <c r="F890" s="3" t="s">
        <v>54</v>
      </c>
      <c r="G890" s="5">
        <v>47.15</v>
      </c>
      <c r="H890" s="3" t="s">
        <v>34</v>
      </c>
      <c r="I890" s="3" t="s">
        <v>26</v>
      </c>
      <c r="J890" s="5">
        <v>109567.16</v>
      </c>
    </row>
    <row r="891" spans="1:10" x14ac:dyDescent="0.3">
      <c r="A891" s="3" t="s">
        <v>965</v>
      </c>
      <c r="B891" s="4">
        <v>45937</v>
      </c>
      <c r="C891" s="3" t="s">
        <v>36</v>
      </c>
      <c r="D891" s="3" t="s">
        <v>18</v>
      </c>
      <c r="E891" s="3" t="s">
        <v>28</v>
      </c>
      <c r="F891" s="3" t="s">
        <v>58</v>
      </c>
      <c r="G891" s="5">
        <v>79.62</v>
      </c>
      <c r="H891" s="3" t="s">
        <v>34</v>
      </c>
      <c r="I891" s="3" t="s">
        <v>26</v>
      </c>
      <c r="J891" s="5">
        <v>109487.54</v>
      </c>
    </row>
    <row r="892" spans="1:10" x14ac:dyDescent="0.3">
      <c r="A892" s="3" t="s">
        <v>966</v>
      </c>
      <c r="B892" s="4">
        <v>45937</v>
      </c>
      <c r="C892" s="3" t="s">
        <v>36</v>
      </c>
      <c r="D892" s="3" t="s">
        <v>18</v>
      </c>
      <c r="E892" s="3" t="s">
        <v>23</v>
      </c>
      <c r="F892" s="3" t="s">
        <v>87</v>
      </c>
      <c r="G892" s="5">
        <v>83.67</v>
      </c>
      <c r="H892" s="3" t="s">
        <v>25</v>
      </c>
      <c r="I892" s="3" t="s">
        <v>26</v>
      </c>
      <c r="J892" s="5">
        <v>109403.87</v>
      </c>
    </row>
    <row r="893" spans="1:10" x14ac:dyDescent="0.3">
      <c r="A893" s="3" t="s">
        <v>967</v>
      </c>
      <c r="B893" s="4">
        <v>45938</v>
      </c>
      <c r="C893" s="3" t="s">
        <v>36</v>
      </c>
      <c r="D893" s="3" t="s">
        <v>18</v>
      </c>
      <c r="E893" s="3" t="s">
        <v>43</v>
      </c>
      <c r="F893" s="3" t="s">
        <v>103</v>
      </c>
      <c r="G893" s="5">
        <v>92.39</v>
      </c>
      <c r="H893" s="3" t="s">
        <v>21</v>
      </c>
      <c r="I893" s="3" t="s">
        <v>16</v>
      </c>
      <c r="J893" s="5">
        <v>109311.48</v>
      </c>
    </row>
    <row r="894" spans="1:10" x14ac:dyDescent="0.3">
      <c r="A894" s="3" t="s">
        <v>968</v>
      </c>
      <c r="B894" s="4">
        <v>45938</v>
      </c>
      <c r="C894" s="3" t="s">
        <v>11</v>
      </c>
      <c r="D894" s="3" t="s">
        <v>18</v>
      </c>
      <c r="E894" s="3" t="s">
        <v>28</v>
      </c>
      <c r="F894" s="3" t="s">
        <v>117</v>
      </c>
      <c r="G894" s="5">
        <v>179.19</v>
      </c>
      <c r="H894" s="3" t="s">
        <v>30</v>
      </c>
      <c r="I894" s="3" t="s">
        <v>26</v>
      </c>
      <c r="J894" s="5">
        <v>109132.29</v>
      </c>
    </row>
    <row r="895" spans="1:10" x14ac:dyDescent="0.3">
      <c r="A895" s="3" t="s">
        <v>969</v>
      </c>
      <c r="B895" s="4">
        <v>45938</v>
      </c>
      <c r="C895" s="3" t="s">
        <v>36</v>
      </c>
      <c r="D895" s="3" t="s">
        <v>18</v>
      </c>
      <c r="E895" s="3" t="s">
        <v>47</v>
      </c>
      <c r="F895" s="3" t="s">
        <v>91</v>
      </c>
      <c r="G895" s="5">
        <v>10.83</v>
      </c>
      <c r="H895" s="3" t="s">
        <v>25</v>
      </c>
      <c r="I895" s="3" t="s">
        <v>26</v>
      </c>
      <c r="J895" s="5">
        <v>109121.46</v>
      </c>
    </row>
    <row r="896" spans="1:10" x14ac:dyDescent="0.3">
      <c r="A896" s="3" t="s">
        <v>970</v>
      </c>
      <c r="B896" s="4">
        <v>45940</v>
      </c>
      <c r="C896" s="3" t="s">
        <v>36</v>
      </c>
      <c r="D896" s="3" t="s">
        <v>18</v>
      </c>
      <c r="E896" s="3" t="s">
        <v>47</v>
      </c>
      <c r="F896" s="3" t="s">
        <v>106</v>
      </c>
      <c r="G896" s="5">
        <v>42.06</v>
      </c>
      <c r="H896" s="3" t="s">
        <v>34</v>
      </c>
      <c r="I896" s="3" t="s">
        <v>26</v>
      </c>
      <c r="J896" s="5">
        <v>109079.4</v>
      </c>
    </row>
    <row r="897" spans="1:10" x14ac:dyDescent="0.3">
      <c r="A897" s="3" t="s">
        <v>971</v>
      </c>
      <c r="B897" s="4">
        <v>45941</v>
      </c>
      <c r="C897" s="3" t="s">
        <v>36</v>
      </c>
      <c r="D897" s="3" t="s">
        <v>18</v>
      </c>
      <c r="E897" s="3" t="s">
        <v>28</v>
      </c>
      <c r="F897" s="3" t="s">
        <v>52</v>
      </c>
      <c r="G897" s="5">
        <v>123.44</v>
      </c>
      <c r="H897" s="3" t="s">
        <v>30</v>
      </c>
      <c r="I897" s="3" t="s">
        <v>26</v>
      </c>
      <c r="J897" s="5">
        <v>108955.96</v>
      </c>
    </row>
    <row r="898" spans="1:10" x14ac:dyDescent="0.3">
      <c r="A898" s="3" t="s">
        <v>972</v>
      </c>
      <c r="B898" s="4">
        <v>45941</v>
      </c>
      <c r="C898" s="3" t="s">
        <v>11</v>
      </c>
      <c r="D898" s="3" t="s">
        <v>18</v>
      </c>
      <c r="E898" s="3" t="s">
        <v>23</v>
      </c>
      <c r="F898" s="3" t="s">
        <v>54</v>
      </c>
      <c r="G898" s="5">
        <v>72.94</v>
      </c>
      <c r="H898" s="3" t="s">
        <v>30</v>
      </c>
      <c r="I898" s="3" t="s">
        <v>26</v>
      </c>
      <c r="J898" s="5">
        <v>108883.02</v>
      </c>
    </row>
    <row r="899" spans="1:10" x14ac:dyDescent="0.3">
      <c r="A899" s="3" t="s">
        <v>973</v>
      </c>
      <c r="B899" s="4">
        <v>45941</v>
      </c>
      <c r="C899" s="3" t="s">
        <v>11</v>
      </c>
      <c r="D899" s="3" t="s">
        <v>18</v>
      </c>
      <c r="E899" s="3" t="s">
        <v>47</v>
      </c>
      <c r="F899" s="3" t="s">
        <v>48</v>
      </c>
      <c r="G899" s="5">
        <v>46.94</v>
      </c>
      <c r="H899" s="3" t="s">
        <v>34</v>
      </c>
      <c r="I899" s="3" t="s">
        <v>26</v>
      </c>
      <c r="J899" s="5">
        <v>108836.08</v>
      </c>
    </row>
    <row r="900" spans="1:10" x14ac:dyDescent="0.3">
      <c r="A900" s="3" t="s">
        <v>974</v>
      </c>
      <c r="B900" s="4">
        <v>45944</v>
      </c>
      <c r="C900" s="3" t="s">
        <v>36</v>
      </c>
      <c r="D900" s="3" t="s">
        <v>18</v>
      </c>
      <c r="E900" s="3" t="s">
        <v>28</v>
      </c>
      <c r="F900" s="3" t="s">
        <v>117</v>
      </c>
      <c r="G900" s="5">
        <v>97.99</v>
      </c>
      <c r="H900" s="3" t="s">
        <v>34</v>
      </c>
      <c r="I900" s="3" t="s">
        <v>26</v>
      </c>
      <c r="J900" s="5">
        <v>108738.09</v>
      </c>
    </row>
    <row r="901" spans="1:10" x14ac:dyDescent="0.3">
      <c r="A901" s="3" t="s">
        <v>975</v>
      </c>
      <c r="B901" s="4">
        <v>45944</v>
      </c>
      <c r="C901" s="3" t="s">
        <v>11</v>
      </c>
      <c r="D901" s="3" t="s">
        <v>18</v>
      </c>
      <c r="E901" s="3" t="s">
        <v>23</v>
      </c>
      <c r="F901" s="3" t="s">
        <v>135</v>
      </c>
      <c r="G901" s="5">
        <v>40.21</v>
      </c>
      <c r="H901" s="3" t="s">
        <v>34</v>
      </c>
      <c r="I901" s="3" t="s">
        <v>26</v>
      </c>
      <c r="J901" s="5">
        <v>108697.88</v>
      </c>
    </row>
    <row r="902" spans="1:10" x14ac:dyDescent="0.3">
      <c r="A902" s="3" t="s">
        <v>976</v>
      </c>
      <c r="B902" s="4">
        <v>45944</v>
      </c>
      <c r="C902" s="3" t="s">
        <v>36</v>
      </c>
      <c r="D902" s="3" t="s">
        <v>18</v>
      </c>
      <c r="E902" s="3" t="s">
        <v>39</v>
      </c>
      <c r="F902" s="3" t="s">
        <v>89</v>
      </c>
      <c r="G902" s="5">
        <v>75.83</v>
      </c>
      <c r="H902" s="3" t="s">
        <v>34</v>
      </c>
      <c r="I902" s="3" t="s">
        <v>26</v>
      </c>
      <c r="J902" s="5">
        <v>108622.05</v>
      </c>
    </row>
    <row r="903" spans="1:10" x14ac:dyDescent="0.3">
      <c r="A903" s="3" t="s">
        <v>977</v>
      </c>
      <c r="B903" s="4">
        <v>45945</v>
      </c>
      <c r="C903" s="3" t="s">
        <v>11</v>
      </c>
      <c r="D903" s="3" t="s">
        <v>12</v>
      </c>
      <c r="E903" s="3" t="s">
        <v>13</v>
      </c>
      <c r="F903" s="3" t="s">
        <v>14</v>
      </c>
      <c r="G903" s="5">
        <v>3772.12</v>
      </c>
      <c r="H903" s="3" t="s">
        <v>15</v>
      </c>
      <c r="I903" s="3" t="s">
        <v>16</v>
      </c>
      <c r="J903" s="5">
        <v>112394.17</v>
      </c>
    </row>
    <row r="904" spans="1:10" x14ac:dyDescent="0.3">
      <c r="A904" s="3" t="s">
        <v>978</v>
      </c>
      <c r="B904" s="4">
        <v>45945</v>
      </c>
      <c r="C904" s="3" t="s">
        <v>36</v>
      </c>
      <c r="D904" s="3" t="s">
        <v>18</v>
      </c>
      <c r="E904" s="3" t="s">
        <v>47</v>
      </c>
      <c r="F904" s="3" t="s">
        <v>91</v>
      </c>
      <c r="G904" s="5">
        <v>33.49</v>
      </c>
      <c r="H904" s="3" t="s">
        <v>25</v>
      </c>
      <c r="I904" s="3" t="s">
        <v>26</v>
      </c>
      <c r="J904" s="5">
        <v>112360.68</v>
      </c>
    </row>
    <row r="905" spans="1:10" x14ac:dyDescent="0.3">
      <c r="A905" s="3" t="s">
        <v>979</v>
      </c>
      <c r="B905" s="4">
        <v>45950</v>
      </c>
      <c r="C905" s="3" t="s">
        <v>36</v>
      </c>
      <c r="D905" s="3" t="s">
        <v>18</v>
      </c>
      <c r="E905" s="3" t="s">
        <v>23</v>
      </c>
      <c r="F905" s="3" t="s">
        <v>135</v>
      </c>
      <c r="G905" s="5">
        <v>17.04</v>
      </c>
      <c r="H905" s="3" t="s">
        <v>30</v>
      </c>
      <c r="I905" s="3" t="s">
        <v>26</v>
      </c>
      <c r="J905" s="5">
        <v>112343.64</v>
      </c>
    </row>
    <row r="906" spans="1:10" x14ac:dyDescent="0.3">
      <c r="A906" s="3" t="s">
        <v>980</v>
      </c>
      <c r="B906" s="4">
        <v>45950</v>
      </c>
      <c r="C906" s="3" t="s">
        <v>36</v>
      </c>
      <c r="D906" s="3" t="s">
        <v>18</v>
      </c>
      <c r="E906" s="3" t="s">
        <v>47</v>
      </c>
      <c r="F906" s="3" t="s">
        <v>106</v>
      </c>
      <c r="G906" s="5">
        <v>33.99</v>
      </c>
      <c r="H906" s="3" t="s">
        <v>30</v>
      </c>
      <c r="I906" s="3" t="s">
        <v>26</v>
      </c>
      <c r="J906" s="5">
        <v>112309.65</v>
      </c>
    </row>
    <row r="907" spans="1:10" x14ac:dyDescent="0.3">
      <c r="A907" s="3" t="s">
        <v>981</v>
      </c>
      <c r="B907" s="4">
        <v>45951</v>
      </c>
      <c r="C907" s="3" t="s">
        <v>126</v>
      </c>
      <c r="D907" s="3" t="s">
        <v>12</v>
      </c>
      <c r="E907" s="3" t="s">
        <v>108</v>
      </c>
      <c r="F907" s="3" t="s">
        <v>109</v>
      </c>
      <c r="G907" s="5">
        <v>617.59</v>
      </c>
      <c r="H907" s="3" t="s">
        <v>110</v>
      </c>
      <c r="I907" s="3" t="s">
        <v>26</v>
      </c>
      <c r="J907" s="5">
        <v>112927.24</v>
      </c>
    </row>
    <row r="908" spans="1:10" x14ac:dyDescent="0.3">
      <c r="A908" s="3" t="s">
        <v>982</v>
      </c>
      <c r="B908" s="4">
        <v>45951</v>
      </c>
      <c r="C908" s="3" t="s">
        <v>11</v>
      </c>
      <c r="D908" s="3" t="s">
        <v>18</v>
      </c>
      <c r="E908" s="3" t="s">
        <v>47</v>
      </c>
      <c r="F908" s="3" t="s">
        <v>56</v>
      </c>
      <c r="G908" s="5">
        <v>20.420000000000002</v>
      </c>
      <c r="H908" s="3" t="s">
        <v>34</v>
      </c>
      <c r="I908" s="3" t="s">
        <v>26</v>
      </c>
      <c r="J908" s="5">
        <v>112906.82</v>
      </c>
    </row>
    <row r="909" spans="1:10" x14ac:dyDescent="0.3">
      <c r="A909" s="3" t="s">
        <v>983</v>
      </c>
      <c r="B909" s="4">
        <v>45952</v>
      </c>
      <c r="C909" s="3" t="s">
        <v>36</v>
      </c>
      <c r="D909" s="3" t="s">
        <v>18</v>
      </c>
      <c r="E909" s="3" t="s">
        <v>39</v>
      </c>
      <c r="F909" s="3" t="s">
        <v>156</v>
      </c>
      <c r="G909" s="5">
        <v>77.59</v>
      </c>
      <c r="H909" s="3" t="s">
        <v>34</v>
      </c>
      <c r="I909" s="3" t="s">
        <v>26</v>
      </c>
      <c r="J909" s="5">
        <v>112829.23</v>
      </c>
    </row>
    <row r="910" spans="1:10" x14ac:dyDescent="0.3">
      <c r="A910" s="3" t="s">
        <v>984</v>
      </c>
      <c r="B910" s="4">
        <v>45954</v>
      </c>
      <c r="C910" s="3" t="s">
        <v>11</v>
      </c>
      <c r="D910" s="3" t="s">
        <v>12</v>
      </c>
      <c r="E910" s="3" t="s">
        <v>108</v>
      </c>
      <c r="F910" s="3" t="s">
        <v>127</v>
      </c>
      <c r="G910" s="5">
        <v>524.25</v>
      </c>
      <c r="H910" s="3" t="s">
        <v>110</v>
      </c>
      <c r="I910" s="3" t="s">
        <v>26</v>
      </c>
      <c r="J910" s="5">
        <v>113353.48</v>
      </c>
    </row>
    <row r="911" spans="1:10" x14ac:dyDescent="0.3">
      <c r="A911" s="3" t="s">
        <v>985</v>
      </c>
      <c r="B911" s="4">
        <v>45954</v>
      </c>
      <c r="C911" s="3" t="s">
        <v>36</v>
      </c>
      <c r="D911" s="3" t="s">
        <v>18</v>
      </c>
      <c r="E911" s="3" t="s">
        <v>28</v>
      </c>
      <c r="F911" s="3" t="s">
        <v>29</v>
      </c>
      <c r="G911" s="5">
        <v>178.45</v>
      </c>
      <c r="H911" s="3" t="s">
        <v>30</v>
      </c>
      <c r="I911" s="3" t="s">
        <v>26</v>
      </c>
      <c r="J911" s="5">
        <v>113175.03</v>
      </c>
    </row>
    <row r="912" spans="1:10" x14ac:dyDescent="0.3">
      <c r="A912" s="3" t="s">
        <v>986</v>
      </c>
      <c r="B912" s="4">
        <v>45954</v>
      </c>
      <c r="C912" s="3" t="s">
        <v>36</v>
      </c>
      <c r="D912" s="3" t="s">
        <v>18</v>
      </c>
      <c r="E912" s="3" t="s">
        <v>23</v>
      </c>
      <c r="F912" s="3" t="s">
        <v>124</v>
      </c>
      <c r="G912" s="5">
        <v>73.56</v>
      </c>
      <c r="H912" s="3" t="s">
        <v>34</v>
      </c>
      <c r="I912" s="3" t="s">
        <v>26</v>
      </c>
      <c r="J912" s="5">
        <v>113101.47</v>
      </c>
    </row>
    <row r="913" spans="1:10" x14ac:dyDescent="0.3">
      <c r="A913" s="3" t="s">
        <v>987</v>
      </c>
      <c r="B913" s="4">
        <v>45954</v>
      </c>
      <c r="C913" s="3" t="s">
        <v>11</v>
      </c>
      <c r="D913" s="3" t="s">
        <v>18</v>
      </c>
      <c r="E913" s="3" t="s">
        <v>39</v>
      </c>
      <c r="F913" s="3" t="s">
        <v>186</v>
      </c>
      <c r="G913" s="5">
        <v>94.2</v>
      </c>
      <c r="H913" s="3" t="s">
        <v>30</v>
      </c>
      <c r="I913" s="3" t="s">
        <v>26</v>
      </c>
      <c r="J913" s="5">
        <v>113007.27</v>
      </c>
    </row>
    <row r="914" spans="1:10" x14ac:dyDescent="0.3">
      <c r="A914" s="3" t="s">
        <v>988</v>
      </c>
      <c r="B914" s="4">
        <v>45956</v>
      </c>
      <c r="C914" s="3" t="s">
        <v>11</v>
      </c>
      <c r="D914" s="3" t="s">
        <v>18</v>
      </c>
      <c r="E914" s="3" t="s">
        <v>23</v>
      </c>
      <c r="F914" s="3" t="s">
        <v>124</v>
      </c>
      <c r="G914" s="5">
        <v>75.03</v>
      </c>
      <c r="H914" s="3" t="s">
        <v>34</v>
      </c>
      <c r="I914" s="3" t="s">
        <v>26</v>
      </c>
      <c r="J914" s="5">
        <v>112932.24</v>
      </c>
    </row>
    <row r="915" spans="1:10" x14ac:dyDescent="0.3">
      <c r="A915" s="3" t="s">
        <v>989</v>
      </c>
      <c r="B915" s="4">
        <v>45957</v>
      </c>
      <c r="C915" s="3" t="s">
        <v>11</v>
      </c>
      <c r="D915" s="3" t="s">
        <v>18</v>
      </c>
      <c r="E915" s="3" t="s">
        <v>23</v>
      </c>
      <c r="F915" s="3" t="s">
        <v>124</v>
      </c>
      <c r="G915" s="5">
        <v>9.02</v>
      </c>
      <c r="H915" s="3" t="s">
        <v>30</v>
      </c>
      <c r="I915" s="3" t="s">
        <v>26</v>
      </c>
      <c r="J915" s="5">
        <v>112923.22</v>
      </c>
    </row>
    <row r="916" spans="1:10" x14ac:dyDescent="0.3">
      <c r="A916" s="3" t="s">
        <v>990</v>
      </c>
      <c r="B916" s="4">
        <v>45957</v>
      </c>
      <c r="C916" s="3" t="s">
        <v>11</v>
      </c>
      <c r="D916" s="3" t="s">
        <v>18</v>
      </c>
      <c r="E916" s="3" t="s">
        <v>47</v>
      </c>
      <c r="F916" s="3" t="s">
        <v>69</v>
      </c>
      <c r="G916" s="5">
        <v>52.39</v>
      </c>
      <c r="H916" s="3" t="s">
        <v>34</v>
      </c>
      <c r="I916" s="3" t="s">
        <v>26</v>
      </c>
      <c r="J916" s="5">
        <v>112870.83</v>
      </c>
    </row>
    <row r="917" spans="1:10" x14ac:dyDescent="0.3">
      <c r="A917" s="3" t="s">
        <v>991</v>
      </c>
      <c r="B917" s="4">
        <v>45958</v>
      </c>
      <c r="C917" s="3" t="s">
        <v>11</v>
      </c>
      <c r="D917" s="3" t="s">
        <v>12</v>
      </c>
      <c r="E917" s="3" t="s">
        <v>108</v>
      </c>
      <c r="F917" s="3" t="s">
        <v>127</v>
      </c>
      <c r="G917" s="5">
        <v>630.09</v>
      </c>
      <c r="H917" s="3" t="s">
        <v>110</v>
      </c>
      <c r="I917" s="3" t="s">
        <v>26</v>
      </c>
      <c r="J917" s="5">
        <v>113500.92</v>
      </c>
    </row>
    <row r="918" spans="1:10" x14ac:dyDescent="0.3">
      <c r="A918" s="3" t="s">
        <v>992</v>
      </c>
      <c r="B918" s="4">
        <v>45958</v>
      </c>
      <c r="C918" s="3" t="s">
        <v>11</v>
      </c>
      <c r="D918" s="3" t="s">
        <v>18</v>
      </c>
      <c r="E918" s="3" t="s">
        <v>47</v>
      </c>
      <c r="F918" s="3" t="s">
        <v>91</v>
      </c>
      <c r="G918" s="5">
        <v>48.48</v>
      </c>
      <c r="H918" s="3" t="s">
        <v>25</v>
      </c>
      <c r="I918" s="3" t="s">
        <v>26</v>
      </c>
      <c r="J918" s="5">
        <v>113452.44</v>
      </c>
    </row>
    <row r="919" spans="1:10" x14ac:dyDescent="0.3">
      <c r="A919" s="3" t="s">
        <v>993</v>
      </c>
      <c r="B919" s="4">
        <v>45959</v>
      </c>
      <c r="C919" s="3" t="s">
        <v>36</v>
      </c>
      <c r="D919" s="3" t="s">
        <v>18</v>
      </c>
      <c r="E919" s="3" t="s">
        <v>39</v>
      </c>
      <c r="F919" s="3" t="s">
        <v>40</v>
      </c>
      <c r="G919" s="5">
        <v>81.95</v>
      </c>
      <c r="H919" s="3" t="s">
        <v>34</v>
      </c>
      <c r="I919" s="3" t="s">
        <v>26</v>
      </c>
      <c r="J919" s="5">
        <v>113370.49</v>
      </c>
    </row>
    <row r="920" spans="1:10" x14ac:dyDescent="0.3">
      <c r="A920" s="3" t="s">
        <v>994</v>
      </c>
      <c r="B920" s="4">
        <v>45960</v>
      </c>
      <c r="C920" s="3" t="s">
        <v>11</v>
      </c>
      <c r="D920" s="3" t="s">
        <v>18</v>
      </c>
      <c r="E920" s="3" t="s">
        <v>28</v>
      </c>
      <c r="F920" s="3" t="s">
        <v>79</v>
      </c>
      <c r="G920" s="5">
        <v>66.55</v>
      </c>
      <c r="H920" s="3" t="s">
        <v>30</v>
      </c>
      <c r="I920" s="3" t="s">
        <v>26</v>
      </c>
      <c r="J920" s="5">
        <v>113303.94</v>
      </c>
    </row>
    <row r="921" spans="1:10" x14ac:dyDescent="0.3">
      <c r="A921" s="3" t="s">
        <v>995</v>
      </c>
      <c r="B921" s="4">
        <v>45961</v>
      </c>
      <c r="C921" s="3" t="s">
        <v>36</v>
      </c>
      <c r="D921" s="3" t="s">
        <v>18</v>
      </c>
      <c r="E921" s="3" t="s">
        <v>23</v>
      </c>
      <c r="F921" s="3" t="s">
        <v>54</v>
      </c>
      <c r="G921" s="5">
        <v>10.220000000000001</v>
      </c>
      <c r="H921" s="3" t="s">
        <v>34</v>
      </c>
      <c r="I921" s="3" t="s">
        <v>26</v>
      </c>
      <c r="J921" s="5">
        <v>113293.72</v>
      </c>
    </row>
    <row r="922" spans="1:10" x14ac:dyDescent="0.3">
      <c r="A922" s="3" t="s">
        <v>996</v>
      </c>
      <c r="B922" s="4">
        <v>45962</v>
      </c>
      <c r="C922" s="3" t="s">
        <v>11</v>
      </c>
      <c r="D922" s="3" t="s">
        <v>18</v>
      </c>
      <c r="E922" s="3" t="s">
        <v>19</v>
      </c>
      <c r="F922" s="3" t="s">
        <v>20</v>
      </c>
      <c r="G922" s="5">
        <v>1655.46</v>
      </c>
      <c r="H922" s="3" t="s">
        <v>21</v>
      </c>
      <c r="I922" s="3" t="s">
        <v>16</v>
      </c>
      <c r="J922" s="5">
        <v>111638.26</v>
      </c>
    </row>
    <row r="923" spans="1:10" x14ac:dyDescent="0.3">
      <c r="A923" s="3" t="s">
        <v>997</v>
      </c>
      <c r="B923" s="4">
        <v>45962</v>
      </c>
      <c r="C923" s="3" t="s">
        <v>36</v>
      </c>
      <c r="D923" s="3" t="s">
        <v>18</v>
      </c>
      <c r="E923" s="3" t="s">
        <v>28</v>
      </c>
      <c r="F923" s="3" t="s">
        <v>114</v>
      </c>
      <c r="G923" s="5">
        <v>73.63</v>
      </c>
      <c r="H923" s="3" t="s">
        <v>30</v>
      </c>
      <c r="I923" s="3" t="s">
        <v>26</v>
      </c>
      <c r="J923" s="5">
        <v>111564.63</v>
      </c>
    </row>
    <row r="924" spans="1:10" x14ac:dyDescent="0.3">
      <c r="A924" s="3" t="s">
        <v>998</v>
      </c>
      <c r="B924" s="4">
        <v>45963</v>
      </c>
      <c r="C924" s="3" t="s">
        <v>11</v>
      </c>
      <c r="D924" s="3" t="s">
        <v>18</v>
      </c>
      <c r="E924" s="3" t="s">
        <v>28</v>
      </c>
      <c r="F924" s="3" t="s">
        <v>74</v>
      </c>
      <c r="G924" s="5">
        <v>131.76</v>
      </c>
      <c r="H924" s="3" t="s">
        <v>30</v>
      </c>
      <c r="I924" s="3" t="s">
        <v>26</v>
      </c>
      <c r="J924" s="5">
        <v>111432.87</v>
      </c>
    </row>
    <row r="925" spans="1:10" x14ac:dyDescent="0.3">
      <c r="A925" s="3" t="s">
        <v>999</v>
      </c>
      <c r="B925" s="4">
        <v>45963</v>
      </c>
      <c r="C925" s="3" t="s">
        <v>11</v>
      </c>
      <c r="D925" s="3" t="s">
        <v>18</v>
      </c>
      <c r="E925" s="3" t="s">
        <v>47</v>
      </c>
      <c r="F925" s="3" t="s">
        <v>60</v>
      </c>
      <c r="G925" s="5">
        <v>33.78</v>
      </c>
      <c r="H925" s="3" t="s">
        <v>30</v>
      </c>
      <c r="I925" s="3" t="s">
        <v>26</v>
      </c>
      <c r="J925" s="5">
        <v>111399.09</v>
      </c>
    </row>
    <row r="926" spans="1:10" x14ac:dyDescent="0.3">
      <c r="A926" s="3" t="s">
        <v>1000</v>
      </c>
      <c r="B926" s="4">
        <v>45964</v>
      </c>
      <c r="C926" s="3" t="s">
        <v>36</v>
      </c>
      <c r="D926" s="3" t="s">
        <v>18</v>
      </c>
      <c r="E926" s="3" t="s">
        <v>28</v>
      </c>
      <c r="F926" s="3" t="s">
        <v>79</v>
      </c>
      <c r="G926" s="5">
        <v>27.36</v>
      </c>
      <c r="H926" s="3" t="s">
        <v>30</v>
      </c>
      <c r="I926" s="3" t="s">
        <v>26</v>
      </c>
      <c r="J926" s="5">
        <v>111371.73</v>
      </c>
    </row>
    <row r="927" spans="1:10" x14ac:dyDescent="0.3">
      <c r="A927" s="3" t="s">
        <v>1001</v>
      </c>
      <c r="B927" s="4">
        <v>45964</v>
      </c>
      <c r="C927" s="3" t="s">
        <v>11</v>
      </c>
      <c r="D927" s="3" t="s">
        <v>18</v>
      </c>
      <c r="E927" s="3" t="s">
        <v>47</v>
      </c>
      <c r="F927" s="3" t="s">
        <v>60</v>
      </c>
      <c r="G927" s="5">
        <v>26.53</v>
      </c>
      <c r="H927" s="3" t="s">
        <v>25</v>
      </c>
      <c r="I927" s="3" t="s">
        <v>26</v>
      </c>
      <c r="J927" s="5">
        <v>111345.2</v>
      </c>
    </row>
    <row r="928" spans="1:10" x14ac:dyDescent="0.3">
      <c r="A928" s="3" t="s">
        <v>1002</v>
      </c>
      <c r="B928" s="4">
        <v>45966</v>
      </c>
      <c r="C928" s="3" t="s">
        <v>36</v>
      </c>
      <c r="D928" s="3" t="s">
        <v>18</v>
      </c>
      <c r="E928" s="3" t="s">
        <v>28</v>
      </c>
      <c r="F928" s="3" t="s">
        <v>74</v>
      </c>
      <c r="G928" s="5">
        <v>150.72999999999999</v>
      </c>
      <c r="H928" s="3" t="s">
        <v>34</v>
      </c>
      <c r="I928" s="3" t="s">
        <v>26</v>
      </c>
      <c r="J928" s="5">
        <v>111194.47</v>
      </c>
    </row>
    <row r="929" spans="1:10" x14ac:dyDescent="0.3">
      <c r="A929" s="3" t="s">
        <v>1003</v>
      </c>
      <c r="B929" s="4">
        <v>45966</v>
      </c>
      <c r="C929" s="3" t="s">
        <v>11</v>
      </c>
      <c r="D929" s="3" t="s">
        <v>18</v>
      </c>
      <c r="E929" s="3" t="s">
        <v>23</v>
      </c>
      <c r="F929" s="3" t="s">
        <v>135</v>
      </c>
      <c r="G929" s="5">
        <v>83.19</v>
      </c>
      <c r="H929" s="3" t="s">
        <v>25</v>
      </c>
      <c r="I929" s="3" t="s">
        <v>26</v>
      </c>
      <c r="J929" s="5">
        <v>111111.28</v>
      </c>
    </row>
    <row r="930" spans="1:10" x14ac:dyDescent="0.3">
      <c r="A930" s="3" t="s">
        <v>1004</v>
      </c>
      <c r="B930" s="4">
        <v>45966</v>
      </c>
      <c r="C930" s="3" t="s">
        <v>11</v>
      </c>
      <c r="D930" s="3" t="s">
        <v>18</v>
      </c>
      <c r="E930" s="3" t="s">
        <v>47</v>
      </c>
      <c r="F930" s="3" t="s">
        <v>56</v>
      </c>
      <c r="G930" s="5">
        <v>56.78</v>
      </c>
      <c r="H930" s="3" t="s">
        <v>34</v>
      </c>
      <c r="I930" s="3" t="s">
        <v>26</v>
      </c>
      <c r="J930" s="5">
        <v>111054.5</v>
      </c>
    </row>
    <row r="931" spans="1:10" x14ac:dyDescent="0.3">
      <c r="A931" s="3" t="s">
        <v>1005</v>
      </c>
      <c r="B931" s="4">
        <v>45967</v>
      </c>
      <c r="C931" s="3" t="s">
        <v>11</v>
      </c>
      <c r="D931" s="3" t="s">
        <v>18</v>
      </c>
      <c r="E931" s="3" t="s">
        <v>39</v>
      </c>
      <c r="F931" s="3" t="s">
        <v>186</v>
      </c>
      <c r="G931" s="5">
        <v>79.099999999999994</v>
      </c>
      <c r="H931" s="3" t="s">
        <v>30</v>
      </c>
      <c r="I931" s="3" t="s">
        <v>26</v>
      </c>
      <c r="J931" s="5">
        <v>110975.4</v>
      </c>
    </row>
    <row r="932" spans="1:10" x14ac:dyDescent="0.3">
      <c r="A932" s="3" t="s">
        <v>1006</v>
      </c>
      <c r="B932" s="4">
        <v>45968</v>
      </c>
      <c r="C932" s="3" t="s">
        <v>11</v>
      </c>
      <c r="D932" s="3" t="s">
        <v>18</v>
      </c>
      <c r="E932" s="3" t="s">
        <v>28</v>
      </c>
      <c r="F932" s="3" t="s">
        <v>52</v>
      </c>
      <c r="G932" s="5">
        <v>157.57</v>
      </c>
      <c r="H932" s="3" t="s">
        <v>30</v>
      </c>
      <c r="I932" s="3" t="s">
        <v>26</v>
      </c>
      <c r="J932" s="5">
        <v>110817.83</v>
      </c>
    </row>
    <row r="933" spans="1:10" x14ac:dyDescent="0.3">
      <c r="A933" s="3" t="s">
        <v>1007</v>
      </c>
      <c r="B933" s="4">
        <v>45968</v>
      </c>
      <c r="C933" s="3" t="s">
        <v>11</v>
      </c>
      <c r="D933" s="3" t="s">
        <v>18</v>
      </c>
      <c r="E933" s="3" t="s">
        <v>47</v>
      </c>
      <c r="F933" s="3" t="s">
        <v>106</v>
      </c>
      <c r="G933" s="5">
        <v>48.07</v>
      </c>
      <c r="H933" s="3" t="s">
        <v>34</v>
      </c>
      <c r="I933" s="3" t="s">
        <v>26</v>
      </c>
      <c r="J933" s="5">
        <v>110769.76</v>
      </c>
    </row>
    <row r="934" spans="1:10" x14ac:dyDescent="0.3">
      <c r="A934" s="3" t="s">
        <v>1008</v>
      </c>
      <c r="B934" s="4">
        <v>45969</v>
      </c>
      <c r="C934" s="3" t="s">
        <v>11</v>
      </c>
      <c r="D934" s="3" t="s">
        <v>18</v>
      </c>
      <c r="E934" s="3" t="s">
        <v>43</v>
      </c>
      <c r="F934" s="3" t="s">
        <v>50</v>
      </c>
      <c r="G934" s="5">
        <v>194.49</v>
      </c>
      <c r="H934" s="3" t="s">
        <v>21</v>
      </c>
      <c r="I934" s="3" t="s">
        <v>16</v>
      </c>
      <c r="J934" s="5">
        <v>110575.27</v>
      </c>
    </row>
    <row r="935" spans="1:10" x14ac:dyDescent="0.3">
      <c r="A935" s="3" t="s">
        <v>1009</v>
      </c>
      <c r="B935" s="4">
        <v>45969</v>
      </c>
      <c r="C935" s="3" t="s">
        <v>11</v>
      </c>
      <c r="D935" s="3" t="s">
        <v>18</v>
      </c>
      <c r="E935" s="3" t="s">
        <v>28</v>
      </c>
      <c r="F935" s="3" t="s">
        <v>117</v>
      </c>
      <c r="G935" s="5">
        <v>111.82</v>
      </c>
      <c r="H935" s="3" t="s">
        <v>30</v>
      </c>
      <c r="I935" s="3" t="s">
        <v>26</v>
      </c>
      <c r="J935" s="5">
        <v>110463.45</v>
      </c>
    </row>
    <row r="936" spans="1:10" x14ac:dyDescent="0.3">
      <c r="A936" s="3" t="s">
        <v>1010</v>
      </c>
      <c r="B936" s="4">
        <v>45969</v>
      </c>
      <c r="C936" s="3" t="s">
        <v>36</v>
      </c>
      <c r="D936" s="3" t="s">
        <v>18</v>
      </c>
      <c r="E936" s="3" t="s">
        <v>47</v>
      </c>
      <c r="F936" s="3" t="s">
        <v>106</v>
      </c>
      <c r="G936" s="5">
        <v>16.97</v>
      </c>
      <c r="H936" s="3" t="s">
        <v>25</v>
      </c>
      <c r="I936" s="3" t="s">
        <v>26</v>
      </c>
      <c r="J936" s="5">
        <v>110446.48</v>
      </c>
    </row>
    <row r="937" spans="1:10" x14ac:dyDescent="0.3">
      <c r="A937" s="3" t="s">
        <v>1011</v>
      </c>
      <c r="B937" s="4">
        <v>45970</v>
      </c>
      <c r="C937" s="3" t="s">
        <v>11</v>
      </c>
      <c r="D937" s="3" t="s">
        <v>18</v>
      </c>
      <c r="E937" s="3" t="s">
        <v>43</v>
      </c>
      <c r="F937" s="3" t="s">
        <v>50</v>
      </c>
      <c r="G937" s="5">
        <v>246.76</v>
      </c>
      <c r="H937" s="3" t="s">
        <v>21</v>
      </c>
      <c r="I937" s="3" t="s">
        <v>16</v>
      </c>
      <c r="J937" s="5">
        <v>110199.72</v>
      </c>
    </row>
    <row r="938" spans="1:10" x14ac:dyDescent="0.3">
      <c r="A938" s="3" t="s">
        <v>1012</v>
      </c>
      <c r="B938" s="4">
        <v>45970</v>
      </c>
      <c r="C938" s="3" t="s">
        <v>36</v>
      </c>
      <c r="D938" s="3" t="s">
        <v>18</v>
      </c>
      <c r="E938" s="3" t="s">
        <v>23</v>
      </c>
      <c r="F938" s="3" t="s">
        <v>24</v>
      </c>
      <c r="G938" s="5">
        <v>16.41</v>
      </c>
      <c r="H938" s="3" t="s">
        <v>25</v>
      </c>
      <c r="I938" s="3" t="s">
        <v>26</v>
      </c>
      <c r="J938" s="5">
        <v>110183.31</v>
      </c>
    </row>
    <row r="939" spans="1:10" x14ac:dyDescent="0.3">
      <c r="A939" s="3" t="s">
        <v>1013</v>
      </c>
      <c r="B939" s="4">
        <v>45971</v>
      </c>
      <c r="C939" s="3" t="s">
        <v>36</v>
      </c>
      <c r="D939" s="3" t="s">
        <v>18</v>
      </c>
      <c r="E939" s="3" t="s">
        <v>47</v>
      </c>
      <c r="F939" s="3" t="s">
        <v>91</v>
      </c>
      <c r="G939" s="5">
        <v>5.07</v>
      </c>
      <c r="H939" s="3" t="s">
        <v>30</v>
      </c>
      <c r="I939" s="3" t="s">
        <v>26</v>
      </c>
      <c r="J939" s="5">
        <v>110178.24000000001</v>
      </c>
    </row>
    <row r="940" spans="1:10" x14ac:dyDescent="0.3">
      <c r="A940" s="3" t="s">
        <v>1014</v>
      </c>
      <c r="B940" s="4">
        <v>45972</v>
      </c>
      <c r="C940" s="3" t="s">
        <v>11</v>
      </c>
      <c r="D940" s="3" t="s">
        <v>18</v>
      </c>
      <c r="E940" s="3" t="s">
        <v>47</v>
      </c>
      <c r="F940" s="3" t="s">
        <v>69</v>
      </c>
      <c r="G940" s="5">
        <v>42.89</v>
      </c>
      <c r="H940" s="3" t="s">
        <v>30</v>
      </c>
      <c r="I940" s="3" t="s">
        <v>26</v>
      </c>
      <c r="J940" s="5">
        <v>110135.35</v>
      </c>
    </row>
    <row r="941" spans="1:10" x14ac:dyDescent="0.3">
      <c r="A941" s="3" t="s">
        <v>1015</v>
      </c>
      <c r="B941" s="4">
        <v>45974</v>
      </c>
      <c r="C941" s="3" t="s">
        <v>11</v>
      </c>
      <c r="D941" s="3" t="s">
        <v>18</v>
      </c>
      <c r="E941" s="3" t="s">
        <v>23</v>
      </c>
      <c r="F941" s="3" t="s">
        <v>24</v>
      </c>
      <c r="G941" s="5">
        <v>69.47</v>
      </c>
      <c r="H941" s="3" t="s">
        <v>34</v>
      </c>
      <c r="I941" s="3" t="s">
        <v>26</v>
      </c>
      <c r="J941" s="5">
        <v>110065.88</v>
      </c>
    </row>
    <row r="942" spans="1:10" x14ac:dyDescent="0.3">
      <c r="A942" s="3" t="s">
        <v>1016</v>
      </c>
      <c r="B942" s="4">
        <v>45975</v>
      </c>
      <c r="C942" s="3" t="s">
        <v>11</v>
      </c>
      <c r="D942" s="3" t="s">
        <v>18</v>
      </c>
      <c r="E942" s="3" t="s">
        <v>23</v>
      </c>
      <c r="F942" s="3" t="s">
        <v>135</v>
      </c>
      <c r="G942" s="5">
        <v>76.41</v>
      </c>
      <c r="H942" s="3" t="s">
        <v>30</v>
      </c>
      <c r="I942" s="3" t="s">
        <v>26</v>
      </c>
      <c r="J942" s="5">
        <v>109989.47</v>
      </c>
    </row>
    <row r="943" spans="1:10" x14ac:dyDescent="0.3">
      <c r="A943" s="3" t="s">
        <v>1017</v>
      </c>
      <c r="B943" s="4">
        <v>45976</v>
      </c>
      <c r="C943" s="3" t="s">
        <v>11</v>
      </c>
      <c r="D943" s="3" t="s">
        <v>12</v>
      </c>
      <c r="E943" s="3" t="s">
        <v>13</v>
      </c>
      <c r="F943" s="3" t="s">
        <v>14</v>
      </c>
      <c r="G943" s="5">
        <v>5218.3999999999996</v>
      </c>
      <c r="H943" s="3" t="s">
        <v>15</v>
      </c>
      <c r="I943" s="3" t="s">
        <v>16</v>
      </c>
      <c r="J943" s="5">
        <v>115207.87</v>
      </c>
    </row>
    <row r="944" spans="1:10" x14ac:dyDescent="0.3">
      <c r="A944" s="3" t="s">
        <v>1018</v>
      </c>
      <c r="B944" s="4">
        <v>45976</v>
      </c>
      <c r="C944" s="3" t="s">
        <v>36</v>
      </c>
      <c r="D944" s="3" t="s">
        <v>18</v>
      </c>
      <c r="E944" s="3" t="s">
        <v>23</v>
      </c>
      <c r="F944" s="3" t="s">
        <v>76</v>
      </c>
      <c r="G944" s="5">
        <v>16.350000000000001</v>
      </c>
      <c r="H944" s="3" t="s">
        <v>30</v>
      </c>
      <c r="I944" s="3" t="s">
        <v>26</v>
      </c>
      <c r="J944" s="5">
        <v>115191.52</v>
      </c>
    </row>
    <row r="945" spans="1:10" x14ac:dyDescent="0.3">
      <c r="A945" s="3" t="s">
        <v>1019</v>
      </c>
      <c r="B945" s="4">
        <v>45978</v>
      </c>
      <c r="C945" s="3" t="s">
        <v>36</v>
      </c>
      <c r="D945" s="3" t="s">
        <v>18</v>
      </c>
      <c r="E945" s="3" t="s">
        <v>28</v>
      </c>
      <c r="F945" s="3" t="s">
        <v>79</v>
      </c>
      <c r="G945" s="5">
        <v>71.39</v>
      </c>
      <c r="H945" s="3" t="s">
        <v>34</v>
      </c>
      <c r="I945" s="3" t="s">
        <v>26</v>
      </c>
      <c r="J945" s="5">
        <v>115120.13</v>
      </c>
    </row>
    <row r="946" spans="1:10" x14ac:dyDescent="0.3">
      <c r="A946" s="3" t="s">
        <v>1020</v>
      </c>
      <c r="B946" s="4">
        <v>45981</v>
      </c>
      <c r="C946" s="3" t="s">
        <v>11</v>
      </c>
      <c r="D946" s="3" t="s">
        <v>18</v>
      </c>
      <c r="E946" s="3" t="s">
        <v>23</v>
      </c>
      <c r="F946" s="3" t="s">
        <v>54</v>
      </c>
      <c r="G946" s="5">
        <v>75.900000000000006</v>
      </c>
      <c r="H946" s="3" t="s">
        <v>34</v>
      </c>
      <c r="I946" s="3" t="s">
        <v>26</v>
      </c>
      <c r="J946" s="5">
        <v>115044.23</v>
      </c>
    </row>
    <row r="947" spans="1:10" x14ac:dyDescent="0.3">
      <c r="A947" s="3" t="s">
        <v>1021</v>
      </c>
      <c r="B947" s="4">
        <v>45981</v>
      </c>
      <c r="C947" s="3" t="s">
        <v>36</v>
      </c>
      <c r="D947" s="3" t="s">
        <v>18</v>
      </c>
      <c r="E947" s="3" t="s">
        <v>47</v>
      </c>
      <c r="F947" s="3" t="s">
        <v>106</v>
      </c>
      <c r="G947" s="5">
        <v>18.420000000000002</v>
      </c>
      <c r="H947" s="3" t="s">
        <v>30</v>
      </c>
      <c r="I947" s="3" t="s">
        <v>26</v>
      </c>
      <c r="J947" s="5">
        <v>115025.81</v>
      </c>
    </row>
    <row r="948" spans="1:10" x14ac:dyDescent="0.3">
      <c r="A948" s="3" t="s">
        <v>1022</v>
      </c>
      <c r="B948" s="4">
        <v>45982</v>
      </c>
      <c r="C948" s="3" t="s">
        <v>36</v>
      </c>
      <c r="D948" s="3" t="s">
        <v>18</v>
      </c>
      <c r="E948" s="3" t="s">
        <v>23</v>
      </c>
      <c r="F948" s="3" t="s">
        <v>24</v>
      </c>
      <c r="G948" s="5">
        <v>29.88</v>
      </c>
      <c r="H948" s="3" t="s">
        <v>34</v>
      </c>
      <c r="I948" s="3" t="s">
        <v>26</v>
      </c>
      <c r="J948" s="5">
        <v>114995.93</v>
      </c>
    </row>
    <row r="949" spans="1:10" x14ac:dyDescent="0.3">
      <c r="A949" s="3" t="s">
        <v>1023</v>
      </c>
      <c r="B949" s="4">
        <v>45983</v>
      </c>
      <c r="C949" s="3" t="s">
        <v>36</v>
      </c>
      <c r="D949" s="3" t="s">
        <v>18</v>
      </c>
      <c r="E949" s="3" t="s">
        <v>28</v>
      </c>
      <c r="F949" s="3" t="s">
        <v>52</v>
      </c>
      <c r="G949" s="5">
        <v>163.68</v>
      </c>
      <c r="H949" s="3" t="s">
        <v>34</v>
      </c>
      <c r="I949" s="3" t="s">
        <v>26</v>
      </c>
      <c r="J949" s="5">
        <v>114832.25</v>
      </c>
    </row>
    <row r="950" spans="1:10" x14ac:dyDescent="0.3">
      <c r="A950" s="3" t="s">
        <v>1024</v>
      </c>
      <c r="B950" s="4">
        <v>45983</v>
      </c>
      <c r="C950" s="3" t="s">
        <v>11</v>
      </c>
      <c r="D950" s="3" t="s">
        <v>18</v>
      </c>
      <c r="E950" s="3" t="s">
        <v>23</v>
      </c>
      <c r="F950" s="3" t="s">
        <v>98</v>
      </c>
      <c r="G950" s="5">
        <v>10.41</v>
      </c>
      <c r="H950" s="3" t="s">
        <v>30</v>
      </c>
      <c r="I950" s="3" t="s">
        <v>26</v>
      </c>
      <c r="J950" s="5">
        <v>114821.84</v>
      </c>
    </row>
    <row r="951" spans="1:10" x14ac:dyDescent="0.3">
      <c r="A951" s="3" t="s">
        <v>1025</v>
      </c>
      <c r="B951" s="4">
        <v>45984</v>
      </c>
      <c r="C951" s="3" t="s">
        <v>36</v>
      </c>
      <c r="D951" s="3" t="s">
        <v>18</v>
      </c>
      <c r="E951" s="3" t="s">
        <v>28</v>
      </c>
      <c r="F951" s="3" t="s">
        <v>29</v>
      </c>
      <c r="G951" s="5">
        <v>78.319999999999993</v>
      </c>
      <c r="H951" s="3" t="s">
        <v>34</v>
      </c>
      <c r="I951" s="3" t="s">
        <v>26</v>
      </c>
      <c r="J951" s="5">
        <v>114743.52</v>
      </c>
    </row>
    <row r="952" spans="1:10" x14ac:dyDescent="0.3">
      <c r="A952" s="3" t="s">
        <v>1026</v>
      </c>
      <c r="B952" s="4">
        <v>45984</v>
      </c>
      <c r="C952" s="3" t="s">
        <v>11</v>
      </c>
      <c r="D952" s="3" t="s">
        <v>18</v>
      </c>
      <c r="E952" s="3" t="s">
        <v>23</v>
      </c>
      <c r="F952" s="3" t="s">
        <v>54</v>
      </c>
      <c r="G952" s="5">
        <v>15.43</v>
      </c>
      <c r="H952" s="3" t="s">
        <v>30</v>
      </c>
      <c r="I952" s="3" t="s">
        <v>26</v>
      </c>
      <c r="J952" s="5">
        <v>114728.09</v>
      </c>
    </row>
    <row r="953" spans="1:10" x14ac:dyDescent="0.3">
      <c r="A953" s="3" t="s">
        <v>1027</v>
      </c>
      <c r="B953" s="4">
        <v>45985</v>
      </c>
      <c r="C953" s="3" t="s">
        <v>11</v>
      </c>
      <c r="D953" s="3" t="s">
        <v>18</v>
      </c>
      <c r="E953" s="3" t="s">
        <v>47</v>
      </c>
      <c r="F953" s="3" t="s">
        <v>56</v>
      </c>
      <c r="G953" s="5">
        <v>46.35</v>
      </c>
      <c r="H953" s="3" t="s">
        <v>34</v>
      </c>
      <c r="I953" s="3" t="s">
        <v>26</v>
      </c>
      <c r="J953" s="5">
        <v>114681.74</v>
      </c>
    </row>
    <row r="954" spans="1:10" x14ac:dyDescent="0.3">
      <c r="A954" s="3" t="s">
        <v>1028</v>
      </c>
      <c r="B954" s="4">
        <v>45988</v>
      </c>
      <c r="C954" s="3" t="s">
        <v>36</v>
      </c>
      <c r="D954" s="3" t="s">
        <v>18</v>
      </c>
      <c r="E954" s="3" t="s">
        <v>28</v>
      </c>
      <c r="F954" s="3" t="s">
        <v>52</v>
      </c>
      <c r="G954" s="5">
        <v>72.319999999999993</v>
      </c>
      <c r="H954" s="3" t="s">
        <v>30</v>
      </c>
      <c r="I954" s="3" t="s">
        <v>26</v>
      </c>
      <c r="J954" s="5">
        <v>114609.42</v>
      </c>
    </row>
    <row r="955" spans="1:10" x14ac:dyDescent="0.3">
      <c r="A955" s="3" t="s">
        <v>1029</v>
      </c>
      <c r="B955" s="4">
        <v>45989</v>
      </c>
      <c r="C955" s="3" t="s">
        <v>36</v>
      </c>
      <c r="D955" s="3" t="s">
        <v>18</v>
      </c>
      <c r="E955" s="3" t="s">
        <v>28</v>
      </c>
      <c r="F955" s="3" t="s">
        <v>114</v>
      </c>
      <c r="G955" s="5">
        <v>150.13999999999999</v>
      </c>
      <c r="H955" s="3" t="s">
        <v>30</v>
      </c>
      <c r="I955" s="3" t="s">
        <v>26</v>
      </c>
      <c r="J955" s="5">
        <v>114459.28</v>
      </c>
    </row>
    <row r="956" spans="1:10" x14ac:dyDescent="0.3">
      <c r="A956" s="3" t="s">
        <v>1030</v>
      </c>
      <c r="B956" s="4">
        <v>45989</v>
      </c>
      <c r="C956" s="3" t="s">
        <v>36</v>
      </c>
      <c r="D956" s="3" t="s">
        <v>18</v>
      </c>
      <c r="E956" s="3" t="s">
        <v>23</v>
      </c>
      <c r="F956" s="3" t="s">
        <v>54</v>
      </c>
      <c r="G956" s="5">
        <v>51.33</v>
      </c>
      <c r="H956" s="3" t="s">
        <v>30</v>
      </c>
      <c r="I956" s="3" t="s">
        <v>26</v>
      </c>
      <c r="J956" s="5">
        <v>114407.95</v>
      </c>
    </row>
    <row r="957" spans="1:10" x14ac:dyDescent="0.3">
      <c r="A957" s="3" t="s">
        <v>1031</v>
      </c>
      <c r="B957" s="4">
        <v>45989</v>
      </c>
      <c r="C957" s="3" t="s">
        <v>11</v>
      </c>
      <c r="D957" s="3" t="s">
        <v>18</v>
      </c>
      <c r="E957" s="3" t="s">
        <v>39</v>
      </c>
      <c r="F957" s="3" t="s">
        <v>40</v>
      </c>
      <c r="G957" s="5">
        <v>19.28</v>
      </c>
      <c r="H957" s="3" t="s">
        <v>34</v>
      </c>
      <c r="I957" s="3" t="s">
        <v>26</v>
      </c>
      <c r="J957" s="5">
        <v>114388.67</v>
      </c>
    </row>
    <row r="958" spans="1:10" x14ac:dyDescent="0.3">
      <c r="A958" s="3" t="s">
        <v>1032</v>
      </c>
      <c r="B958" s="4">
        <v>45990</v>
      </c>
      <c r="C958" s="3" t="s">
        <v>11</v>
      </c>
      <c r="D958" s="3" t="s">
        <v>18</v>
      </c>
      <c r="E958" s="3" t="s">
        <v>39</v>
      </c>
      <c r="F958" s="3" t="s">
        <v>170</v>
      </c>
      <c r="G958" s="5">
        <v>70.52</v>
      </c>
      <c r="H958" s="3" t="s">
        <v>30</v>
      </c>
      <c r="I958" s="3" t="s">
        <v>26</v>
      </c>
      <c r="J958" s="5">
        <v>114318.15</v>
      </c>
    </row>
    <row r="959" spans="1:10" x14ac:dyDescent="0.3">
      <c r="A959" s="3" t="s">
        <v>1033</v>
      </c>
      <c r="B959" s="4">
        <v>45991</v>
      </c>
      <c r="C959" s="3" t="s">
        <v>11</v>
      </c>
      <c r="D959" s="3" t="s">
        <v>18</v>
      </c>
      <c r="E959" s="3" t="s">
        <v>23</v>
      </c>
      <c r="F959" s="3" t="s">
        <v>87</v>
      </c>
      <c r="G959" s="5">
        <v>65.09</v>
      </c>
      <c r="H959" s="3" t="s">
        <v>34</v>
      </c>
      <c r="I959" s="3" t="s">
        <v>26</v>
      </c>
      <c r="J959" s="5">
        <v>114253.06</v>
      </c>
    </row>
    <row r="960" spans="1:10" x14ac:dyDescent="0.3">
      <c r="A960" s="3" t="s">
        <v>1034</v>
      </c>
      <c r="B960" s="4">
        <v>45991</v>
      </c>
      <c r="C960" s="3" t="s">
        <v>36</v>
      </c>
      <c r="D960" s="3" t="s">
        <v>18</v>
      </c>
      <c r="E960" s="3" t="s">
        <v>47</v>
      </c>
      <c r="F960" s="3" t="s">
        <v>91</v>
      </c>
      <c r="G960" s="5">
        <v>37.26</v>
      </c>
      <c r="H960" s="3" t="s">
        <v>34</v>
      </c>
      <c r="I960" s="3" t="s">
        <v>26</v>
      </c>
      <c r="J960" s="5">
        <v>114215.8</v>
      </c>
    </row>
    <row r="961" spans="1:10" x14ac:dyDescent="0.3">
      <c r="A961" s="3" t="s">
        <v>1035</v>
      </c>
      <c r="B961" s="4">
        <v>45992</v>
      </c>
      <c r="C961" s="3" t="s">
        <v>11</v>
      </c>
      <c r="D961" s="3" t="s">
        <v>12</v>
      </c>
      <c r="E961" s="3" t="s">
        <v>13</v>
      </c>
      <c r="F961" s="3" t="s">
        <v>239</v>
      </c>
      <c r="G961" s="5">
        <v>4007.26</v>
      </c>
      <c r="H961" s="3" t="s">
        <v>15</v>
      </c>
      <c r="I961" s="3" t="s">
        <v>16</v>
      </c>
      <c r="J961" s="5">
        <v>118223.06</v>
      </c>
    </row>
    <row r="962" spans="1:10" x14ac:dyDescent="0.3">
      <c r="A962" s="3" t="s">
        <v>1036</v>
      </c>
      <c r="B962" s="4">
        <v>45992</v>
      </c>
      <c r="C962" s="3" t="s">
        <v>36</v>
      </c>
      <c r="D962" s="3" t="s">
        <v>18</v>
      </c>
      <c r="E962" s="3" t="s">
        <v>23</v>
      </c>
      <c r="F962" s="3" t="s">
        <v>37</v>
      </c>
      <c r="G962" s="5">
        <v>20.87</v>
      </c>
      <c r="H962" s="3" t="s">
        <v>34</v>
      </c>
      <c r="I962" s="3" t="s">
        <v>26</v>
      </c>
      <c r="J962" s="5">
        <v>118202.19</v>
      </c>
    </row>
    <row r="963" spans="1:10" x14ac:dyDescent="0.3">
      <c r="A963" s="3" t="s">
        <v>1037</v>
      </c>
      <c r="B963" s="4">
        <v>45993</v>
      </c>
      <c r="C963" s="3" t="s">
        <v>11</v>
      </c>
      <c r="D963" s="3" t="s">
        <v>18</v>
      </c>
      <c r="E963" s="3" t="s">
        <v>28</v>
      </c>
      <c r="F963" s="3" t="s">
        <v>52</v>
      </c>
      <c r="G963" s="5">
        <v>31.54</v>
      </c>
      <c r="H963" s="3" t="s">
        <v>30</v>
      </c>
      <c r="I963" s="3" t="s">
        <v>26</v>
      </c>
      <c r="J963" s="5">
        <v>118170.65</v>
      </c>
    </row>
    <row r="964" spans="1:10" x14ac:dyDescent="0.3">
      <c r="A964" s="3" t="s">
        <v>1038</v>
      </c>
      <c r="B964" s="4">
        <v>45993</v>
      </c>
      <c r="C964" s="3" t="s">
        <v>36</v>
      </c>
      <c r="D964" s="3" t="s">
        <v>18</v>
      </c>
      <c r="E964" s="3" t="s">
        <v>47</v>
      </c>
      <c r="F964" s="3" t="s">
        <v>82</v>
      </c>
      <c r="G964" s="5">
        <v>18.53</v>
      </c>
      <c r="H964" s="3" t="s">
        <v>34</v>
      </c>
      <c r="I964" s="3" t="s">
        <v>26</v>
      </c>
      <c r="J964" s="5">
        <v>118152.12</v>
      </c>
    </row>
    <row r="965" spans="1:10" x14ac:dyDescent="0.3">
      <c r="A965" s="3" t="s">
        <v>1039</v>
      </c>
      <c r="B965" s="4">
        <v>45994</v>
      </c>
      <c r="C965" s="3" t="s">
        <v>11</v>
      </c>
      <c r="D965" s="3" t="s">
        <v>18</v>
      </c>
      <c r="E965" s="3" t="s">
        <v>23</v>
      </c>
      <c r="F965" s="3" t="s">
        <v>37</v>
      </c>
      <c r="G965" s="5">
        <v>71.77</v>
      </c>
      <c r="H965" s="3" t="s">
        <v>30</v>
      </c>
      <c r="I965" s="3" t="s">
        <v>26</v>
      </c>
      <c r="J965" s="5">
        <v>118080.35</v>
      </c>
    </row>
    <row r="966" spans="1:10" x14ac:dyDescent="0.3">
      <c r="A966" s="3" t="s">
        <v>1040</v>
      </c>
      <c r="B966" s="4">
        <v>45995</v>
      </c>
      <c r="C966" s="3" t="s">
        <v>11</v>
      </c>
      <c r="D966" s="3" t="s">
        <v>18</v>
      </c>
      <c r="E966" s="3" t="s">
        <v>28</v>
      </c>
      <c r="F966" s="3" t="s">
        <v>52</v>
      </c>
      <c r="G966" s="5">
        <v>24.88</v>
      </c>
      <c r="H966" s="3" t="s">
        <v>30</v>
      </c>
      <c r="I966" s="3" t="s">
        <v>26</v>
      </c>
      <c r="J966" s="5">
        <v>118055.47</v>
      </c>
    </row>
    <row r="967" spans="1:10" x14ac:dyDescent="0.3">
      <c r="A967" s="3" t="s">
        <v>1041</v>
      </c>
      <c r="B967" s="4">
        <v>45995</v>
      </c>
      <c r="C967" s="3" t="s">
        <v>36</v>
      </c>
      <c r="D967" s="3" t="s">
        <v>18</v>
      </c>
      <c r="E967" s="3" t="s">
        <v>47</v>
      </c>
      <c r="F967" s="3" t="s">
        <v>48</v>
      </c>
      <c r="G967" s="5">
        <v>42</v>
      </c>
      <c r="H967" s="3" t="s">
        <v>34</v>
      </c>
      <c r="I967" s="3" t="s">
        <v>26</v>
      </c>
      <c r="J967" s="5">
        <v>118013.47</v>
      </c>
    </row>
    <row r="968" spans="1:10" x14ac:dyDescent="0.3">
      <c r="A968" s="3" t="s">
        <v>1042</v>
      </c>
      <c r="B968" s="4">
        <v>45996</v>
      </c>
      <c r="C968" s="3" t="s">
        <v>11</v>
      </c>
      <c r="D968" s="3" t="s">
        <v>18</v>
      </c>
      <c r="E968" s="3" t="s">
        <v>43</v>
      </c>
      <c r="F968" s="3" t="s">
        <v>44</v>
      </c>
      <c r="G968" s="5">
        <v>157.69</v>
      </c>
      <c r="H968" s="3" t="s">
        <v>21</v>
      </c>
      <c r="I968" s="3" t="s">
        <v>16</v>
      </c>
      <c r="J968" s="5">
        <v>117855.78</v>
      </c>
    </row>
    <row r="969" spans="1:10" x14ac:dyDescent="0.3">
      <c r="A969" s="3" t="s">
        <v>1043</v>
      </c>
      <c r="B969" s="4">
        <v>45996</v>
      </c>
      <c r="C969" s="3" t="s">
        <v>36</v>
      </c>
      <c r="D969" s="3" t="s">
        <v>18</v>
      </c>
      <c r="E969" s="3" t="s">
        <v>28</v>
      </c>
      <c r="F969" s="3" t="s">
        <v>58</v>
      </c>
      <c r="G969" s="5">
        <v>28.27</v>
      </c>
      <c r="H969" s="3" t="s">
        <v>34</v>
      </c>
      <c r="I969" s="3" t="s">
        <v>26</v>
      </c>
      <c r="J969" s="5">
        <v>117827.51</v>
      </c>
    </row>
    <row r="970" spans="1:10" x14ac:dyDescent="0.3">
      <c r="A970" s="3" t="s">
        <v>1044</v>
      </c>
      <c r="B970" s="4">
        <v>45997</v>
      </c>
      <c r="C970" s="3" t="s">
        <v>11</v>
      </c>
      <c r="D970" s="3" t="s">
        <v>18</v>
      </c>
      <c r="E970" s="3" t="s">
        <v>43</v>
      </c>
      <c r="F970" s="3" t="s">
        <v>151</v>
      </c>
      <c r="G970" s="5">
        <v>94.73</v>
      </c>
      <c r="H970" s="3" t="s">
        <v>21</v>
      </c>
      <c r="I970" s="3" t="s">
        <v>16</v>
      </c>
      <c r="J970" s="5">
        <v>117732.78</v>
      </c>
    </row>
    <row r="971" spans="1:10" x14ac:dyDescent="0.3">
      <c r="A971" s="3" t="s">
        <v>1045</v>
      </c>
      <c r="B971" s="4">
        <v>45997</v>
      </c>
      <c r="C971" s="3" t="s">
        <v>11</v>
      </c>
      <c r="D971" s="3" t="s">
        <v>18</v>
      </c>
      <c r="E971" s="3" t="s">
        <v>39</v>
      </c>
      <c r="F971" s="3" t="s">
        <v>186</v>
      </c>
      <c r="G971" s="5">
        <v>47.43</v>
      </c>
      <c r="H971" s="3" t="s">
        <v>30</v>
      </c>
      <c r="I971" s="3" t="s">
        <v>26</v>
      </c>
      <c r="J971" s="5">
        <v>117685.35</v>
      </c>
    </row>
    <row r="972" spans="1:10" x14ac:dyDescent="0.3">
      <c r="A972" s="3" t="s">
        <v>1046</v>
      </c>
      <c r="B972" s="4">
        <v>45998</v>
      </c>
      <c r="C972" s="3" t="s">
        <v>11</v>
      </c>
      <c r="D972" s="3" t="s">
        <v>18</v>
      </c>
      <c r="E972" s="3" t="s">
        <v>43</v>
      </c>
      <c r="F972" s="3" t="s">
        <v>339</v>
      </c>
      <c r="G972" s="5">
        <v>155.71</v>
      </c>
      <c r="H972" s="3" t="s">
        <v>21</v>
      </c>
      <c r="I972" s="3" t="s">
        <v>16</v>
      </c>
      <c r="J972" s="5">
        <v>117529.64</v>
      </c>
    </row>
    <row r="973" spans="1:10" x14ac:dyDescent="0.3">
      <c r="A973" s="3" t="s">
        <v>1047</v>
      </c>
      <c r="B973" s="4">
        <v>45998</v>
      </c>
      <c r="C973" s="3" t="s">
        <v>36</v>
      </c>
      <c r="D973" s="3" t="s">
        <v>18</v>
      </c>
      <c r="E973" s="3" t="s">
        <v>47</v>
      </c>
      <c r="F973" s="3" t="s">
        <v>106</v>
      </c>
      <c r="G973" s="5">
        <v>53.96</v>
      </c>
      <c r="H973" s="3" t="s">
        <v>34</v>
      </c>
      <c r="I973" s="3" t="s">
        <v>26</v>
      </c>
      <c r="J973" s="5">
        <v>117475.68</v>
      </c>
    </row>
    <row r="974" spans="1:10" x14ac:dyDescent="0.3">
      <c r="A974" s="3" t="s">
        <v>1048</v>
      </c>
      <c r="B974" s="4">
        <v>45999</v>
      </c>
      <c r="C974" s="3" t="s">
        <v>11</v>
      </c>
      <c r="D974" s="3" t="s">
        <v>18</v>
      </c>
      <c r="E974" s="3" t="s">
        <v>47</v>
      </c>
      <c r="F974" s="3" t="s">
        <v>106</v>
      </c>
      <c r="G974" s="5">
        <v>14.9</v>
      </c>
      <c r="H974" s="3" t="s">
        <v>30</v>
      </c>
      <c r="I974" s="3" t="s">
        <v>26</v>
      </c>
      <c r="J974" s="5">
        <v>117460.78</v>
      </c>
    </row>
    <row r="975" spans="1:10" x14ac:dyDescent="0.3">
      <c r="A975" s="3" t="s">
        <v>1049</v>
      </c>
      <c r="B975" s="4">
        <v>46000</v>
      </c>
      <c r="C975" s="3" t="s">
        <v>11</v>
      </c>
      <c r="D975" s="3" t="s">
        <v>18</v>
      </c>
      <c r="E975" s="3" t="s">
        <v>23</v>
      </c>
      <c r="F975" s="3" t="s">
        <v>87</v>
      </c>
      <c r="G975" s="5">
        <v>38.799999999999997</v>
      </c>
      <c r="H975" s="3" t="s">
        <v>30</v>
      </c>
      <c r="I975" s="3" t="s">
        <v>26</v>
      </c>
      <c r="J975" s="5">
        <v>117421.98</v>
      </c>
    </row>
    <row r="976" spans="1:10" x14ac:dyDescent="0.3">
      <c r="A976" s="3" t="s">
        <v>1050</v>
      </c>
      <c r="B976" s="4">
        <v>46001</v>
      </c>
      <c r="C976" s="3" t="s">
        <v>36</v>
      </c>
      <c r="D976" s="3" t="s">
        <v>18</v>
      </c>
      <c r="E976" s="3" t="s">
        <v>43</v>
      </c>
      <c r="F976" s="3" t="s">
        <v>339</v>
      </c>
      <c r="G976" s="5">
        <v>227.34</v>
      </c>
      <c r="H976" s="3" t="s">
        <v>21</v>
      </c>
      <c r="I976" s="3" t="s">
        <v>16</v>
      </c>
      <c r="J976" s="5">
        <v>117194.64</v>
      </c>
    </row>
    <row r="977" spans="1:10" x14ac:dyDescent="0.3">
      <c r="A977" s="3" t="s">
        <v>1051</v>
      </c>
      <c r="B977" s="4">
        <v>46001</v>
      </c>
      <c r="C977" s="3" t="s">
        <v>36</v>
      </c>
      <c r="D977" s="3" t="s">
        <v>18</v>
      </c>
      <c r="E977" s="3" t="s">
        <v>23</v>
      </c>
      <c r="F977" s="3" t="s">
        <v>24</v>
      </c>
      <c r="G977" s="5">
        <v>42.67</v>
      </c>
      <c r="H977" s="3" t="s">
        <v>34</v>
      </c>
      <c r="I977" s="3" t="s">
        <v>26</v>
      </c>
      <c r="J977" s="5">
        <v>117151.97</v>
      </c>
    </row>
    <row r="978" spans="1:10" x14ac:dyDescent="0.3">
      <c r="A978" s="3" t="s">
        <v>1052</v>
      </c>
      <c r="B978" s="4">
        <v>46001</v>
      </c>
      <c r="C978" s="3" t="s">
        <v>11</v>
      </c>
      <c r="D978" s="3" t="s">
        <v>18</v>
      </c>
      <c r="E978" s="3" t="s">
        <v>39</v>
      </c>
      <c r="F978" s="3" t="s">
        <v>64</v>
      </c>
      <c r="G978" s="5">
        <v>40.21</v>
      </c>
      <c r="H978" s="3" t="s">
        <v>30</v>
      </c>
      <c r="I978" s="3" t="s">
        <v>26</v>
      </c>
      <c r="J978" s="5">
        <v>117111.76</v>
      </c>
    </row>
    <row r="979" spans="1:10" x14ac:dyDescent="0.3">
      <c r="A979" s="3" t="s">
        <v>1053</v>
      </c>
      <c r="B979" s="4">
        <v>46002</v>
      </c>
      <c r="C979" s="3" t="s">
        <v>11</v>
      </c>
      <c r="D979" s="3" t="s">
        <v>18</v>
      </c>
      <c r="E979" s="3" t="s">
        <v>23</v>
      </c>
      <c r="F979" s="3" t="s">
        <v>76</v>
      </c>
      <c r="G979" s="5">
        <v>36.65</v>
      </c>
      <c r="H979" s="3" t="s">
        <v>34</v>
      </c>
      <c r="I979" s="3" t="s">
        <v>26</v>
      </c>
      <c r="J979" s="5">
        <v>117075.11</v>
      </c>
    </row>
    <row r="980" spans="1:10" x14ac:dyDescent="0.3">
      <c r="A980" s="3" t="s">
        <v>1054</v>
      </c>
      <c r="B980" s="4">
        <v>46003</v>
      </c>
      <c r="C980" s="3" t="s">
        <v>36</v>
      </c>
      <c r="D980" s="3" t="s">
        <v>18</v>
      </c>
      <c r="E980" s="3" t="s">
        <v>47</v>
      </c>
      <c r="F980" s="3" t="s">
        <v>60</v>
      </c>
      <c r="G980" s="5">
        <v>59</v>
      </c>
      <c r="H980" s="3" t="s">
        <v>30</v>
      </c>
      <c r="I980" s="3" t="s">
        <v>26</v>
      </c>
      <c r="J980" s="5">
        <v>117016.11</v>
      </c>
    </row>
    <row r="981" spans="1:10" x14ac:dyDescent="0.3">
      <c r="A981" s="3" t="s">
        <v>1055</v>
      </c>
      <c r="B981" s="4">
        <v>46005</v>
      </c>
      <c r="C981" s="3" t="s">
        <v>11</v>
      </c>
      <c r="D981" s="3" t="s">
        <v>18</v>
      </c>
      <c r="E981" s="3" t="s">
        <v>28</v>
      </c>
      <c r="F981" s="3" t="s">
        <v>114</v>
      </c>
      <c r="G981" s="5">
        <v>134.05000000000001</v>
      </c>
      <c r="H981" s="3" t="s">
        <v>34</v>
      </c>
      <c r="I981" s="3" t="s">
        <v>26</v>
      </c>
      <c r="J981" s="5">
        <v>116882.06</v>
      </c>
    </row>
    <row r="982" spans="1:10" x14ac:dyDescent="0.3">
      <c r="A982" s="3" t="s">
        <v>1056</v>
      </c>
      <c r="B982" s="4">
        <v>46005</v>
      </c>
      <c r="C982" s="3" t="s">
        <v>11</v>
      </c>
      <c r="D982" s="3" t="s">
        <v>18</v>
      </c>
      <c r="E982" s="3" t="s">
        <v>47</v>
      </c>
      <c r="F982" s="3" t="s">
        <v>60</v>
      </c>
      <c r="G982" s="5">
        <v>56</v>
      </c>
      <c r="H982" s="3" t="s">
        <v>34</v>
      </c>
      <c r="I982" s="3" t="s">
        <v>26</v>
      </c>
      <c r="J982" s="5">
        <v>116826.06</v>
      </c>
    </row>
    <row r="983" spans="1:10" x14ac:dyDescent="0.3">
      <c r="A983" s="3" t="s">
        <v>1057</v>
      </c>
      <c r="B983" s="4">
        <v>46005</v>
      </c>
      <c r="C983" s="3" t="s">
        <v>11</v>
      </c>
      <c r="D983" s="3" t="s">
        <v>18</v>
      </c>
      <c r="E983" s="3" t="s">
        <v>39</v>
      </c>
      <c r="F983" s="3" t="s">
        <v>89</v>
      </c>
      <c r="G983" s="5">
        <v>54.91</v>
      </c>
      <c r="H983" s="3" t="s">
        <v>34</v>
      </c>
      <c r="I983" s="3" t="s">
        <v>26</v>
      </c>
      <c r="J983" s="5">
        <v>116771.15</v>
      </c>
    </row>
    <row r="984" spans="1:10" x14ac:dyDescent="0.3">
      <c r="A984" s="3" t="s">
        <v>1058</v>
      </c>
      <c r="B984" s="4">
        <v>46006</v>
      </c>
      <c r="C984" s="3" t="s">
        <v>11</v>
      </c>
      <c r="D984" s="3" t="s">
        <v>12</v>
      </c>
      <c r="E984" s="3" t="s">
        <v>13</v>
      </c>
      <c r="F984" s="3" t="s">
        <v>239</v>
      </c>
      <c r="G984" s="5">
        <v>4894.96</v>
      </c>
      <c r="H984" s="3" t="s">
        <v>15</v>
      </c>
      <c r="I984" s="3" t="s">
        <v>16</v>
      </c>
      <c r="J984" s="5">
        <v>121666.11</v>
      </c>
    </row>
    <row r="985" spans="1:10" x14ac:dyDescent="0.3">
      <c r="A985" s="3" t="s">
        <v>1059</v>
      </c>
      <c r="B985" s="4">
        <v>46007</v>
      </c>
      <c r="C985" s="3" t="s">
        <v>11</v>
      </c>
      <c r="D985" s="3" t="s">
        <v>18</v>
      </c>
      <c r="E985" s="3" t="s">
        <v>47</v>
      </c>
      <c r="F985" s="3" t="s">
        <v>48</v>
      </c>
      <c r="G985" s="5">
        <v>41.52</v>
      </c>
      <c r="H985" s="3" t="s">
        <v>34</v>
      </c>
      <c r="I985" s="3" t="s">
        <v>26</v>
      </c>
      <c r="J985" s="5">
        <v>121624.59</v>
      </c>
    </row>
    <row r="986" spans="1:10" x14ac:dyDescent="0.3">
      <c r="A986" s="3" t="s">
        <v>1060</v>
      </c>
      <c r="B986" s="4">
        <v>46008</v>
      </c>
      <c r="C986" s="3" t="s">
        <v>11</v>
      </c>
      <c r="D986" s="3" t="s">
        <v>18</v>
      </c>
      <c r="E986" s="3" t="s">
        <v>23</v>
      </c>
      <c r="F986" s="3" t="s">
        <v>54</v>
      </c>
      <c r="G986" s="5">
        <v>45.7</v>
      </c>
      <c r="H986" s="3" t="s">
        <v>34</v>
      </c>
      <c r="I986" s="3" t="s">
        <v>26</v>
      </c>
      <c r="J986" s="5">
        <v>121578.89</v>
      </c>
    </row>
    <row r="987" spans="1:10" x14ac:dyDescent="0.3">
      <c r="A987" s="3" t="s">
        <v>1061</v>
      </c>
      <c r="B987" s="4">
        <v>46008</v>
      </c>
      <c r="C987" s="3" t="s">
        <v>36</v>
      </c>
      <c r="D987" s="3" t="s">
        <v>18</v>
      </c>
      <c r="E987" s="3" t="s">
        <v>47</v>
      </c>
      <c r="F987" s="3" t="s">
        <v>60</v>
      </c>
      <c r="G987" s="5">
        <v>26.57</v>
      </c>
      <c r="H987" s="3" t="s">
        <v>25</v>
      </c>
      <c r="I987" s="3" t="s">
        <v>26</v>
      </c>
      <c r="J987" s="5">
        <v>121552.32000000001</v>
      </c>
    </row>
    <row r="988" spans="1:10" x14ac:dyDescent="0.3">
      <c r="A988" s="3" t="s">
        <v>1062</v>
      </c>
      <c r="B988" s="4">
        <v>46009</v>
      </c>
      <c r="C988" s="3" t="s">
        <v>11</v>
      </c>
      <c r="D988" s="3" t="s">
        <v>18</v>
      </c>
      <c r="E988" s="3" t="s">
        <v>28</v>
      </c>
      <c r="F988" s="3" t="s">
        <v>79</v>
      </c>
      <c r="G988" s="5">
        <v>171.77</v>
      </c>
      <c r="H988" s="3" t="s">
        <v>30</v>
      </c>
      <c r="I988" s="3" t="s">
        <v>26</v>
      </c>
      <c r="J988" s="5">
        <v>121380.55</v>
      </c>
    </row>
    <row r="989" spans="1:10" x14ac:dyDescent="0.3">
      <c r="A989" s="3" t="s">
        <v>1063</v>
      </c>
      <c r="B989" s="4">
        <v>46010</v>
      </c>
      <c r="C989" s="3" t="s">
        <v>36</v>
      </c>
      <c r="D989" s="3" t="s">
        <v>18</v>
      </c>
      <c r="E989" s="3" t="s">
        <v>47</v>
      </c>
      <c r="F989" s="3" t="s">
        <v>56</v>
      </c>
      <c r="G989" s="5">
        <v>28.58</v>
      </c>
      <c r="H989" s="3" t="s">
        <v>30</v>
      </c>
      <c r="I989" s="3" t="s">
        <v>26</v>
      </c>
      <c r="J989" s="5">
        <v>121351.97</v>
      </c>
    </row>
    <row r="990" spans="1:10" x14ac:dyDescent="0.3">
      <c r="A990" s="3" t="s">
        <v>1064</v>
      </c>
      <c r="B990" s="4">
        <v>46011</v>
      </c>
      <c r="C990" s="3" t="s">
        <v>11</v>
      </c>
      <c r="D990" s="3" t="s">
        <v>18</v>
      </c>
      <c r="E990" s="3" t="s">
        <v>23</v>
      </c>
      <c r="F990" s="3" t="s">
        <v>76</v>
      </c>
      <c r="G990" s="5">
        <v>22.13</v>
      </c>
      <c r="H990" s="3" t="s">
        <v>25</v>
      </c>
      <c r="I990" s="3" t="s">
        <v>26</v>
      </c>
      <c r="J990" s="5">
        <v>121329.84</v>
      </c>
    </row>
    <row r="991" spans="1:10" x14ac:dyDescent="0.3">
      <c r="A991" s="3" t="s">
        <v>1065</v>
      </c>
      <c r="B991" s="4">
        <v>46012</v>
      </c>
      <c r="C991" s="3" t="s">
        <v>11</v>
      </c>
      <c r="D991" s="3" t="s">
        <v>18</v>
      </c>
      <c r="E991" s="3" t="s">
        <v>23</v>
      </c>
      <c r="F991" s="3" t="s">
        <v>76</v>
      </c>
      <c r="G991" s="5">
        <v>70.55</v>
      </c>
      <c r="H991" s="3" t="s">
        <v>25</v>
      </c>
      <c r="I991" s="3" t="s">
        <v>26</v>
      </c>
      <c r="J991" s="5">
        <v>121259.29</v>
      </c>
    </row>
    <row r="992" spans="1:10" x14ac:dyDescent="0.3">
      <c r="A992" s="3" t="s">
        <v>1066</v>
      </c>
      <c r="B992" s="4">
        <v>46012</v>
      </c>
      <c r="C992" s="3" t="s">
        <v>36</v>
      </c>
      <c r="D992" s="3" t="s">
        <v>18</v>
      </c>
      <c r="E992" s="3" t="s">
        <v>47</v>
      </c>
      <c r="F992" s="3" t="s">
        <v>91</v>
      </c>
      <c r="G992" s="5">
        <v>15.56</v>
      </c>
      <c r="H992" s="3" t="s">
        <v>30</v>
      </c>
      <c r="I992" s="3" t="s">
        <v>26</v>
      </c>
      <c r="J992" s="5">
        <v>121243.73</v>
      </c>
    </row>
    <row r="993" spans="1:10" x14ac:dyDescent="0.3">
      <c r="A993" s="3" t="s">
        <v>1067</v>
      </c>
      <c r="B993" s="4">
        <v>46013</v>
      </c>
      <c r="C993" s="3" t="s">
        <v>36</v>
      </c>
      <c r="D993" s="3" t="s">
        <v>18</v>
      </c>
      <c r="E993" s="3" t="s">
        <v>23</v>
      </c>
      <c r="F993" s="3" t="s">
        <v>98</v>
      </c>
      <c r="G993" s="5">
        <v>68.099999999999994</v>
      </c>
      <c r="H993" s="3" t="s">
        <v>30</v>
      </c>
      <c r="I993" s="3" t="s">
        <v>26</v>
      </c>
      <c r="J993" s="5">
        <v>121175.63</v>
      </c>
    </row>
    <row r="994" spans="1:10" x14ac:dyDescent="0.3">
      <c r="A994" s="3" t="s">
        <v>1068</v>
      </c>
      <c r="B994" s="4">
        <v>46014</v>
      </c>
      <c r="C994" s="3" t="s">
        <v>11</v>
      </c>
      <c r="D994" s="3" t="s">
        <v>18</v>
      </c>
      <c r="E994" s="3" t="s">
        <v>23</v>
      </c>
      <c r="F994" s="3" t="s">
        <v>37</v>
      </c>
      <c r="G994" s="5">
        <v>18.84</v>
      </c>
      <c r="H994" s="3" t="s">
        <v>25</v>
      </c>
      <c r="I994" s="3" t="s">
        <v>26</v>
      </c>
      <c r="J994" s="5">
        <v>121156.79</v>
      </c>
    </row>
    <row r="995" spans="1:10" x14ac:dyDescent="0.3">
      <c r="A995" s="3" t="s">
        <v>1069</v>
      </c>
      <c r="B995" s="4">
        <v>46015</v>
      </c>
      <c r="C995" s="3" t="s">
        <v>36</v>
      </c>
      <c r="D995" s="3" t="s">
        <v>18</v>
      </c>
      <c r="E995" s="3" t="s">
        <v>28</v>
      </c>
      <c r="F995" s="3" t="s">
        <v>114</v>
      </c>
      <c r="G995" s="5">
        <v>46.62</v>
      </c>
      <c r="H995" s="3" t="s">
        <v>34</v>
      </c>
      <c r="I995" s="3" t="s">
        <v>26</v>
      </c>
      <c r="J995" s="5">
        <v>121110.17</v>
      </c>
    </row>
    <row r="996" spans="1:10" x14ac:dyDescent="0.3">
      <c r="A996" s="3" t="s">
        <v>1070</v>
      </c>
      <c r="B996" s="4">
        <v>46015</v>
      </c>
      <c r="C996" s="3" t="s">
        <v>36</v>
      </c>
      <c r="D996" s="3" t="s">
        <v>18</v>
      </c>
      <c r="E996" s="3" t="s">
        <v>23</v>
      </c>
      <c r="F996" s="3" t="s">
        <v>37</v>
      </c>
      <c r="G996" s="5">
        <v>20.54</v>
      </c>
      <c r="H996" s="3" t="s">
        <v>25</v>
      </c>
      <c r="I996" s="3" t="s">
        <v>26</v>
      </c>
      <c r="J996" s="5">
        <v>121089.63</v>
      </c>
    </row>
    <row r="997" spans="1:10" x14ac:dyDescent="0.3">
      <c r="A997" s="3" t="s">
        <v>1071</v>
      </c>
      <c r="B997" s="4">
        <v>46016</v>
      </c>
      <c r="C997" s="3" t="s">
        <v>11</v>
      </c>
      <c r="D997" s="3" t="s">
        <v>18</v>
      </c>
      <c r="E997" s="3" t="s">
        <v>23</v>
      </c>
      <c r="F997" s="3" t="s">
        <v>76</v>
      </c>
      <c r="G997" s="5">
        <v>15.37</v>
      </c>
      <c r="H997" s="3" t="s">
        <v>30</v>
      </c>
      <c r="I997" s="3" t="s">
        <v>26</v>
      </c>
      <c r="J997" s="5">
        <v>121074.26</v>
      </c>
    </row>
    <row r="998" spans="1:10" x14ac:dyDescent="0.3">
      <c r="A998" s="3" t="s">
        <v>1072</v>
      </c>
      <c r="B998" s="4">
        <v>46017</v>
      </c>
      <c r="C998" s="3" t="s">
        <v>11</v>
      </c>
      <c r="D998" s="3" t="s">
        <v>18</v>
      </c>
      <c r="E998" s="3" t="s">
        <v>47</v>
      </c>
      <c r="F998" s="3" t="s">
        <v>48</v>
      </c>
      <c r="G998" s="5">
        <v>46.4</v>
      </c>
      <c r="H998" s="3" t="s">
        <v>30</v>
      </c>
      <c r="I998" s="3" t="s">
        <v>26</v>
      </c>
      <c r="J998" s="5">
        <v>121027.86</v>
      </c>
    </row>
    <row r="999" spans="1:10" x14ac:dyDescent="0.3">
      <c r="A999" s="3" t="s">
        <v>1073</v>
      </c>
      <c r="B999" s="4">
        <v>46019</v>
      </c>
      <c r="C999" s="3" t="s">
        <v>11</v>
      </c>
      <c r="D999" s="3" t="s">
        <v>18</v>
      </c>
      <c r="E999" s="3" t="s">
        <v>47</v>
      </c>
      <c r="F999" s="3" t="s">
        <v>69</v>
      </c>
      <c r="G999" s="5">
        <v>29</v>
      </c>
      <c r="H999" s="3" t="s">
        <v>30</v>
      </c>
      <c r="I999" s="3" t="s">
        <v>26</v>
      </c>
      <c r="J999" s="5">
        <v>120998.86</v>
      </c>
    </row>
    <row r="1000" spans="1:10" x14ac:dyDescent="0.3">
      <c r="A1000" s="3" t="s">
        <v>1074</v>
      </c>
      <c r="B1000" s="4">
        <v>46020</v>
      </c>
      <c r="C1000" s="3" t="s">
        <v>11</v>
      </c>
      <c r="D1000" s="3" t="s">
        <v>18</v>
      </c>
      <c r="E1000" s="3" t="s">
        <v>28</v>
      </c>
      <c r="F1000" s="3" t="s">
        <v>52</v>
      </c>
      <c r="G1000" s="5">
        <v>177.3</v>
      </c>
      <c r="H1000" s="3" t="s">
        <v>30</v>
      </c>
      <c r="I1000" s="3" t="s">
        <v>26</v>
      </c>
      <c r="J1000" s="5">
        <v>120821.56</v>
      </c>
    </row>
    <row r="1001" spans="1:10" x14ac:dyDescent="0.3">
      <c r="A1001" s="3" t="s">
        <v>1075</v>
      </c>
      <c r="B1001" s="4">
        <v>46021</v>
      </c>
      <c r="C1001" s="3" t="s">
        <v>36</v>
      </c>
      <c r="D1001" s="3" t="s">
        <v>18</v>
      </c>
      <c r="E1001" s="3" t="s">
        <v>23</v>
      </c>
      <c r="F1001" s="3" t="s">
        <v>124</v>
      </c>
      <c r="G1001" s="5">
        <v>68.02</v>
      </c>
      <c r="H1001" s="3" t="s">
        <v>34</v>
      </c>
      <c r="I1001" s="3" t="s">
        <v>26</v>
      </c>
      <c r="J1001" s="5">
        <v>120753.54</v>
      </c>
    </row>
  </sheetData>
  <autoFilter ref="A1:J1001" xr:uid="{72B63F4B-F4A9-43C7-8D52-AC8151CD6D46}"/>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03418-438D-4DE4-8FC0-C5AEB1652691}">
  <sheetPr codeName="Sheet1"/>
  <dimension ref="A2:O190"/>
  <sheetViews>
    <sheetView zoomScale="92" workbookViewId="0">
      <selection activeCell="D166" sqref="D166"/>
    </sheetView>
  </sheetViews>
  <sheetFormatPr defaultRowHeight="14.4" x14ac:dyDescent="0.3"/>
  <cols>
    <col min="1" max="1" width="22.77734375" bestFit="1" customWidth="1"/>
    <col min="2" max="3" width="14" bestFit="1" customWidth="1"/>
    <col min="4" max="4" width="6.77734375" bestFit="1" customWidth="1"/>
    <col min="5" max="5" width="12.6640625" bestFit="1" customWidth="1"/>
    <col min="6" max="6" width="14" bestFit="1" customWidth="1"/>
    <col min="7" max="7" width="10.44140625" bestFit="1" customWidth="1"/>
    <col min="12" max="12" width="14" bestFit="1" customWidth="1"/>
    <col min="13" max="13" width="16.44140625" bestFit="1" customWidth="1"/>
    <col min="14" max="15" width="13" bestFit="1" customWidth="1"/>
  </cols>
  <sheetData>
    <row r="2" spans="1:15" x14ac:dyDescent="0.3">
      <c r="A2" s="6" t="s">
        <v>1081</v>
      </c>
      <c r="B2" s="6" t="s">
        <v>1080</v>
      </c>
      <c r="L2" s="6" t="s">
        <v>1081</v>
      </c>
      <c r="M2" s="6" t="s">
        <v>1080</v>
      </c>
    </row>
    <row r="3" spans="1:15" x14ac:dyDescent="0.3">
      <c r="A3" s="6" t="s">
        <v>1076</v>
      </c>
      <c r="B3" t="s">
        <v>18</v>
      </c>
      <c r="C3" t="s">
        <v>12</v>
      </c>
      <c r="D3" t="s">
        <v>1077</v>
      </c>
      <c r="L3" s="6" t="s">
        <v>1076</v>
      </c>
      <c r="M3" t="s">
        <v>18</v>
      </c>
      <c r="N3" t="s">
        <v>12</v>
      </c>
      <c r="O3" t="s">
        <v>1077</v>
      </c>
    </row>
    <row r="4" spans="1:15" x14ac:dyDescent="0.3">
      <c r="A4" s="7" t="s">
        <v>1078</v>
      </c>
      <c r="B4" s="1">
        <v>48074.37999999999</v>
      </c>
      <c r="C4" s="1">
        <v>102602.73</v>
      </c>
      <c r="D4" s="1">
        <v>150677.10999999999</v>
      </c>
      <c r="L4" s="7" t="s">
        <v>23</v>
      </c>
      <c r="M4" s="1">
        <v>13155.970000000003</v>
      </c>
      <c r="N4" s="1"/>
      <c r="O4" s="1">
        <v>13155.970000000003</v>
      </c>
    </row>
    <row r="5" spans="1:15" x14ac:dyDescent="0.3">
      <c r="A5" s="7" t="s">
        <v>1079</v>
      </c>
      <c r="B5" s="1">
        <v>44905.919999999991</v>
      </c>
      <c r="C5" s="1">
        <v>106131.10999999999</v>
      </c>
      <c r="D5" s="1">
        <v>151037.02999999997</v>
      </c>
      <c r="L5" s="7" t="s">
        <v>108</v>
      </c>
      <c r="M5" s="1"/>
      <c r="N5" s="1">
        <v>35682.039999999986</v>
      </c>
      <c r="O5" s="1">
        <v>35682.039999999986</v>
      </c>
    </row>
    <row r="6" spans="1:15" x14ac:dyDescent="0.3">
      <c r="A6" s="7" t="s">
        <v>1077</v>
      </c>
      <c r="B6" s="1">
        <v>92980.299999999988</v>
      </c>
      <c r="C6" s="1">
        <v>208733.83999999997</v>
      </c>
      <c r="D6" s="1">
        <v>301714.13999999996</v>
      </c>
      <c r="L6" s="7" t="s">
        <v>28</v>
      </c>
      <c r="M6" s="1">
        <v>21840.789999999997</v>
      </c>
      <c r="N6" s="1"/>
      <c r="O6" s="1">
        <v>21840.789999999997</v>
      </c>
    </row>
    <row r="7" spans="1:15" x14ac:dyDescent="0.3">
      <c r="L7" s="7" t="s">
        <v>19</v>
      </c>
      <c r="M7" s="1">
        <v>34880.649999999994</v>
      </c>
      <c r="N7" s="1"/>
      <c r="O7" s="1">
        <v>34880.649999999994</v>
      </c>
    </row>
    <row r="8" spans="1:15" x14ac:dyDescent="0.3">
      <c r="L8" s="7" t="s">
        <v>13</v>
      </c>
      <c r="M8" s="1"/>
      <c r="N8" s="1">
        <v>173051.8</v>
      </c>
      <c r="O8" s="1">
        <v>173051.8</v>
      </c>
    </row>
    <row r="9" spans="1:15" x14ac:dyDescent="0.3">
      <c r="L9" s="7" t="s">
        <v>47</v>
      </c>
      <c r="M9" s="1">
        <v>7752.1200000000026</v>
      </c>
      <c r="N9" s="1"/>
      <c r="O9" s="1">
        <v>7752.1200000000026</v>
      </c>
    </row>
    <row r="10" spans="1:15" x14ac:dyDescent="0.3">
      <c r="L10" s="7" t="s">
        <v>43</v>
      </c>
      <c r="M10" s="1">
        <v>9617.2499999999982</v>
      </c>
      <c r="N10" s="1"/>
      <c r="O10" s="1">
        <v>9617.2499999999982</v>
      </c>
    </row>
    <row r="11" spans="1:15" x14ac:dyDescent="0.3">
      <c r="L11" s="7" t="s">
        <v>1077</v>
      </c>
      <c r="M11" s="1">
        <v>87246.78</v>
      </c>
      <c r="N11" s="1">
        <v>208733.83999999997</v>
      </c>
      <c r="O11" s="1">
        <v>295980.62</v>
      </c>
    </row>
    <row r="27" spans="2:3" x14ac:dyDescent="0.3">
      <c r="B27" s="6" t="s">
        <v>3</v>
      </c>
      <c r="C27" t="s">
        <v>12</v>
      </c>
    </row>
    <row r="29" spans="2:3" x14ac:dyDescent="0.3">
      <c r="B29" s="6" t="s">
        <v>1076</v>
      </c>
      <c r="C29" t="s">
        <v>1081</v>
      </c>
    </row>
    <row r="30" spans="2:3" x14ac:dyDescent="0.3">
      <c r="B30" s="7" t="s">
        <v>108</v>
      </c>
      <c r="C30" s="1">
        <v>35682.039999999994</v>
      </c>
    </row>
    <row r="31" spans="2:3" x14ac:dyDescent="0.3">
      <c r="B31" s="7" t="s">
        <v>13</v>
      </c>
      <c r="C31" s="1">
        <v>173051.79999999996</v>
      </c>
    </row>
    <row r="32" spans="2:3" x14ac:dyDescent="0.3">
      <c r="B32" s="7" t="s">
        <v>1077</v>
      </c>
      <c r="C32" s="1">
        <v>208733.83999999997</v>
      </c>
    </row>
    <row r="42" spans="1:2" x14ac:dyDescent="0.3">
      <c r="A42" s="6" t="s">
        <v>3</v>
      </c>
      <c r="B42" t="s">
        <v>1082</v>
      </c>
    </row>
    <row r="44" spans="1:2" x14ac:dyDescent="0.3">
      <c r="A44" s="6" t="s">
        <v>1076</v>
      </c>
      <c r="B44" t="s">
        <v>1081</v>
      </c>
    </row>
    <row r="45" spans="1:2" x14ac:dyDescent="0.3">
      <c r="A45" s="7" t="s">
        <v>21</v>
      </c>
      <c r="B45" s="1">
        <v>44497.9</v>
      </c>
    </row>
    <row r="46" spans="1:2" x14ac:dyDescent="0.3">
      <c r="A46" s="7" t="s">
        <v>25</v>
      </c>
      <c r="B46" s="1">
        <v>6758.9599999999982</v>
      </c>
    </row>
    <row r="47" spans="1:2" x14ac:dyDescent="0.3">
      <c r="A47" s="7" t="s">
        <v>183</v>
      </c>
      <c r="B47" s="1">
        <v>15755.62</v>
      </c>
    </row>
    <row r="48" spans="1:2" x14ac:dyDescent="0.3">
      <c r="A48" s="7" t="s">
        <v>30</v>
      </c>
      <c r="B48" s="1">
        <v>21896.699999999997</v>
      </c>
    </row>
    <row r="49" spans="1:2" x14ac:dyDescent="0.3">
      <c r="A49" s="7" t="s">
        <v>34</v>
      </c>
      <c r="B49" s="1">
        <v>19826.739999999998</v>
      </c>
    </row>
    <row r="50" spans="1:2" x14ac:dyDescent="0.3">
      <c r="A50" s="7" t="s">
        <v>15</v>
      </c>
      <c r="B50" s="1">
        <v>173051.8</v>
      </c>
    </row>
    <row r="51" spans="1:2" x14ac:dyDescent="0.3">
      <c r="A51" s="7" t="s">
        <v>110</v>
      </c>
      <c r="B51" s="1">
        <v>19926.419999999998</v>
      </c>
    </row>
    <row r="52" spans="1:2" x14ac:dyDescent="0.3">
      <c r="A52" s="7" t="s">
        <v>1077</v>
      </c>
      <c r="B52" s="1">
        <v>301714.13999999996</v>
      </c>
    </row>
    <row r="62" spans="1:2" x14ac:dyDescent="0.3">
      <c r="A62" s="6" t="s">
        <v>3</v>
      </c>
      <c r="B62" t="s">
        <v>1082</v>
      </c>
    </row>
    <row r="64" spans="1:2" x14ac:dyDescent="0.3">
      <c r="A64" s="6" t="s">
        <v>1076</v>
      </c>
      <c r="B64" t="s">
        <v>1081</v>
      </c>
    </row>
    <row r="65" spans="1:2" x14ac:dyDescent="0.3">
      <c r="A65" s="7" t="s">
        <v>109</v>
      </c>
      <c r="B65" s="1">
        <v>10037.620000000001</v>
      </c>
    </row>
    <row r="66" spans="1:2" x14ac:dyDescent="0.3">
      <c r="A66" s="7" t="s">
        <v>96</v>
      </c>
      <c r="B66" s="1">
        <v>6001.41</v>
      </c>
    </row>
    <row r="67" spans="1:2" x14ac:dyDescent="0.3">
      <c r="A67" s="7" t="s">
        <v>191</v>
      </c>
      <c r="B67" s="1">
        <v>12390.999999999998</v>
      </c>
    </row>
    <row r="68" spans="1:2" x14ac:dyDescent="0.3">
      <c r="A68" s="7" t="s">
        <v>127</v>
      </c>
      <c r="B68" s="1">
        <v>10813.83</v>
      </c>
    </row>
    <row r="69" spans="1:2" x14ac:dyDescent="0.3">
      <c r="A69" s="7" t="s">
        <v>14</v>
      </c>
      <c r="B69" s="1">
        <v>83903.01</v>
      </c>
    </row>
    <row r="70" spans="1:2" x14ac:dyDescent="0.3">
      <c r="A70" s="7" t="s">
        <v>388</v>
      </c>
      <c r="B70" s="1">
        <v>8763.57</v>
      </c>
    </row>
    <row r="71" spans="1:2" x14ac:dyDescent="0.3">
      <c r="A71" s="7" t="s">
        <v>239</v>
      </c>
      <c r="B71" s="1">
        <v>89148.79</v>
      </c>
    </row>
    <row r="72" spans="1:2" x14ac:dyDescent="0.3">
      <c r="A72" s="7" t="s">
        <v>354</v>
      </c>
      <c r="B72" s="1">
        <v>6067.0199999999995</v>
      </c>
    </row>
    <row r="73" spans="1:2" x14ac:dyDescent="0.3">
      <c r="A73" s="7" t="s">
        <v>20</v>
      </c>
      <c r="B73" s="1">
        <v>16488.239999999998</v>
      </c>
    </row>
    <row r="74" spans="1:2" x14ac:dyDescent="0.3">
      <c r="A74" s="7" t="s">
        <v>117</v>
      </c>
      <c r="B74" s="1">
        <v>3597.420000000001</v>
      </c>
    </row>
    <row r="75" spans="1:2" x14ac:dyDescent="0.3">
      <c r="A75" s="7" t="s">
        <v>1077</v>
      </c>
      <c r="B75" s="1">
        <v>247211.90999999997</v>
      </c>
    </row>
    <row r="105" spans="3:7" x14ac:dyDescent="0.3">
      <c r="G105" t="s">
        <v>1088</v>
      </c>
    </row>
    <row r="109" spans="3:7" x14ac:dyDescent="0.3">
      <c r="C109" s="6" t="s">
        <v>3</v>
      </c>
      <c r="D109" t="s">
        <v>1082</v>
      </c>
    </row>
    <row r="111" spans="3:7" x14ac:dyDescent="0.3">
      <c r="C111" s="6" t="s">
        <v>1076</v>
      </c>
      <c r="D111" t="s">
        <v>1081</v>
      </c>
    </row>
    <row r="112" spans="3:7" x14ac:dyDescent="0.3">
      <c r="C112" s="7" t="s">
        <v>11</v>
      </c>
      <c r="D112" s="1">
        <v>257842.1099999999</v>
      </c>
    </row>
    <row r="113" spans="3:4" x14ac:dyDescent="0.3">
      <c r="C113" s="7" t="s">
        <v>36</v>
      </c>
      <c r="D113" s="1">
        <v>26563.389999999992</v>
      </c>
    </row>
    <row r="114" spans="3:4" x14ac:dyDescent="0.3">
      <c r="C114" s="7" t="s">
        <v>126</v>
      </c>
      <c r="D114" s="1">
        <v>17308.64</v>
      </c>
    </row>
    <row r="115" spans="3:4" x14ac:dyDescent="0.3">
      <c r="C115" s="7" t="s">
        <v>1077</v>
      </c>
      <c r="D115" s="1">
        <v>301714.1399999999</v>
      </c>
    </row>
    <row r="129" spans="2:12" x14ac:dyDescent="0.3">
      <c r="B129" s="8"/>
      <c r="C129" s="9"/>
      <c r="D129" s="10"/>
      <c r="F129" t="s">
        <v>1083</v>
      </c>
      <c r="J129" t="s">
        <v>1084</v>
      </c>
    </row>
    <row r="130" spans="2:12" x14ac:dyDescent="0.3">
      <c r="B130" s="11"/>
      <c r="C130" s="12"/>
      <c r="D130" s="13"/>
    </row>
    <row r="131" spans="2:12" x14ac:dyDescent="0.3">
      <c r="B131" s="11"/>
      <c r="C131" s="12"/>
      <c r="D131" s="13"/>
    </row>
    <row r="132" spans="2:12" x14ac:dyDescent="0.3">
      <c r="B132" s="11"/>
      <c r="C132" s="12"/>
      <c r="D132" s="13"/>
    </row>
    <row r="133" spans="2:12" x14ac:dyDescent="0.3">
      <c r="B133" s="11"/>
      <c r="C133" s="12"/>
      <c r="D133" s="13"/>
    </row>
    <row r="134" spans="2:12" x14ac:dyDescent="0.3">
      <c r="B134" s="11"/>
      <c r="C134" s="12"/>
      <c r="D134" s="13"/>
      <c r="J134" s="8"/>
      <c r="K134" s="9"/>
      <c r="L134" s="10"/>
    </row>
    <row r="135" spans="2:12" x14ac:dyDescent="0.3">
      <c r="B135" s="11"/>
      <c r="C135" s="12"/>
      <c r="D135" s="13"/>
      <c r="J135" s="11"/>
      <c r="K135" s="12"/>
      <c r="L135" s="13"/>
    </row>
    <row r="136" spans="2:12" x14ac:dyDescent="0.3">
      <c r="B136" s="11"/>
      <c r="C136" s="12"/>
      <c r="D136" s="13"/>
      <c r="J136" s="11"/>
      <c r="K136" s="12"/>
      <c r="L136" s="13"/>
    </row>
    <row r="137" spans="2:12" x14ac:dyDescent="0.3">
      <c r="B137" s="11"/>
      <c r="C137" s="12"/>
      <c r="D137" s="13"/>
      <c r="J137" s="11"/>
      <c r="K137" s="12"/>
      <c r="L137" s="13"/>
    </row>
    <row r="138" spans="2:12" x14ac:dyDescent="0.3">
      <c r="B138" s="11"/>
      <c r="C138" s="12"/>
      <c r="D138" s="13"/>
      <c r="J138" s="11"/>
      <c r="K138" s="12"/>
      <c r="L138" s="13"/>
    </row>
    <row r="139" spans="2:12" x14ac:dyDescent="0.3">
      <c r="B139" s="11"/>
      <c r="C139" s="12"/>
      <c r="D139" s="13"/>
      <c r="J139" s="11"/>
      <c r="K139" s="12"/>
      <c r="L139" s="13"/>
    </row>
    <row r="140" spans="2:12" x14ac:dyDescent="0.3">
      <c r="B140" s="11"/>
      <c r="C140" s="12"/>
      <c r="D140" s="13"/>
      <c r="J140" s="11"/>
      <c r="K140" s="12"/>
      <c r="L140" s="13"/>
    </row>
    <row r="141" spans="2:12" x14ac:dyDescent="0.3">
      <c r="B141" s="11"/>
      <c r="C141" s="12"/>
      <c r="D141" s="13"/>
      <c r="J141" s="11"/>
      <c r="K141" s="12"/>
      <c r="L141" s="13"/>
    </row>
    <row r="142" spans="2:12" x14ac:dyDescent="0.3">
      <c r="B142" s="11"/>
      <c r="C142" s="12"/>
      <c r="D142" s="13"/>
      <c r="J142" s="11"/>
      <c r="K142" s="12"/>
      <c r="L142" s="13"/>
    </row>
    <row r="143" spans="2:12" x14ac:dyDescent="0.3">
      <c r="B143" s="11"/>
      <c r="C143" s="12"/>
      <c r="D143" s="13"/>
      <c r="J143" s="11"/>
      <c r="K143" s="12"/>
      <c r="L143" s="13"/>
    </row>
    <row r="144" spans="2:12" x14ac:dyDescent="0.3">
      <c r="B144" s="11"/>
      <c r="C144" s="12"/>
      <c r="D144" s="13"/>
      <c r="J144" s="11"/>
      <c r="K144" s="12"/>
      <c r="L144" s="13"/>
    </row>
    <row r="145" spans="2:12" x14ac:dyDescent="0.3">
      <c r="B145" s="11"/>
      <c r="C145" s="12"/>
      <c r="D145" s="13"/>
      <c r="J145" s="11"/>
      <c r="K145" s="12"/>
      <c r="L145" s="13"/>
    </row>
    <row r="146" spans="2:12" x14ac:dyDescent="0.3">
      <c r="B146" s="14"/>
      <c r="C146" s="15"/>
      <c r="D146" s="16"/>
      <c r="J146" s="11"/>
      <c r="K146" s="12"/>
      <c r="L146" s="13"/>
    </row>
    <row r="147" spans="2:12" x14ac:dyDescent="0.3">
      <c r="J147" s="11"/>
      <c r="K147" s="12"/>
      <c r="L147" s="13"/>
    </row>
    <row r="148" spans="2:12" x14ac:dyDescent="0.3">
      <c r="J148" s="11"/>
      <c r="K148" s="12"/>
      <c r="L148" s="13"/>
    </row>
    <row r="149" spans="2:12" x14ac:dyDescent="0.3">
      <c r="J149" s="11"/>
      <c r="K149" s="12"/>
      <c r="L149" s="13"/>
    </row>
    <row r="150" spans="2:12" x14ac:dyDescent="0.3">
      <c r="F150" s="6" t="s">
        <v>3</v>
      </c>
      <c r="G150" t="s">
        <v>18</v>
      </c>
      <c r="J150" s="11"/>
      <c r="K150" s="12"/>
      <c r="L150" s="13"/>
    </row>
    <row r="151" spans="2:12" x14ac:dyDescent="0.3">
      <c r="J151" s="14"/>
      <c r="K151" s="15"/>
      <c r="L151" s="16"/>
    </row>
    <row r="152" spans="2:12" x14ac:dyDescent="0.3">
      <c r="C152" s="6" t="s">
        <v>3</v>
      </c>
      <c r="D152" t="s">
        <v>1082</v>
      </c>
      <c r="F152" t="s">
        <v>1081</v>
      </c>
    </row>
    <row r="153" spans="2:12" x14ac:dyDescent="0.3">
      <c r="F153" s="1">
        <v>92980.300000000134</v>
      </c>
    </row>
    <row r="154" spans="2:12" x14ac:dyDescent="0.3">
      <c r="C154" t="s">
        <v>1081</v>
      </c>
      <c r="I154" s="8"/>
      <c r="J154" s="9"/>
      <c r="K154" s="10"/>
    </row>
    <row r="155" spans="2:12" x14ac:dyDescent="0.3">
      <c r="C155" s="1">
        <v>301714.14000000077</v>
      </c>
      <c r="F155" s="21">
        <f>GETPIVOTDATA("Amount",$F$152)</f>
        <v>92980.300000000134</v>
      </c>
      <c r="I155" s="11"/>
      <c r="J155" s="12"/>
      <c r="K155" s="13"/>
    </row>
    <row r="156" spans="2:12" x14ac:dyDescent="0.3">
      <c r="D156" s="1">
        <v>301714.14000000077</v>
      </c>
      <c r="I156" s="11"/>
      <c r="J156" s="12"/>
      <c r="K156" s="13"/>
    </row>
    <row r="157" spans="2:12" x14ac:dyDescent="0.3">
      <c r="I157" s="11"/>
      <c r="J157" s="12"/>
      <c r="K157" s="13"/>
    </row>
    <row r="158" spans="2:12" ht="18" x14ac:dyDescent="0.35">
      <c r="B158" s="6" t="s">
        <v>1076</v>
      </c>
      <c r="C158" t="s">
        <v>1081</v>
      </c>
      <c r="E158" s="17"/>
      <c r="I158" s="11"/>
      <c r="J158" s="12"/>
      <c r="K158" s="13"/>
    </row>
    <row r="159" spans="2:12" x14ac:dyDescent="0.3">
      <c r="B159" s="7" t="s">
        <v>18</v>
      </c>
      <c r="C159" s="1">
        <v>92980.30000000009</v>
      </c>
      <c r="I159" s="11"/>
      <c r="J159" s="12"/>
      <c r="K159" s="13"/>
    </row>
    <row r="160" spans="2:12" x14ac:dyDescent="0.3">
      <c r="B160" s="7" t="s">
        <v>12</v>
      </c>
      <c r="C160" s="1">
        <v>208733.84000000003</v>
      </c>
      <c r="I160" s="11"/>
      <c r="J160" s="12"/>
      <c r="K160" s="13"/>
    </row>
    <row r="161" spans="2:11" x14ac:dyDescent="0.3">
      <c r="B161" s="7" t="s">
        <v>1077</v>
      </c>
      <c r="C161" s="1">
        <v>301714.14000000013</v>
      </c>
      <c r="D161">
        <f>GETPIVOTDATA("Amount",$B$158,"Type","Income")-GETPIVOTDATA("Amount",$B$158,"Type","Expense")</f>
        <v>115753.53999999994</v>
      </c>
      <c r="I161" s="11"/>
      <c r="J161" s="12"/>
      <c r="K161" s="13"/>
    </row>
    <row r="162" spans="2:11" x14ac:dyDescent="0.3">
      <c r="I162" s="11"/>
      <c r="J162" s="12"/>
      <c r="K162" s="13"/>
    </row>
    <row r="163" spans="2:11" x14ac:dyDescent="0.3">
      <c r="I163" s="11"/>
      <c r="J163" s="12"/>
      <c r="K163" s="13"/>
    </row>
    <row r="164" spans="2:11" x14ac:dyDescent="0.3">
      <c r="I164" s="11"/>
      <c r="J164" s="12"/>
      <c r="K164" s="13"/>
    </row>
    <row r="165" spans="2:11" x14ac:dyDescent="0.3">
      <c r="B165" s="18" t="s">
        <v>1085</v>
      </c>
      <c r="C165" s="18" t="s">
        <v>1086</v>
      </c>
      <c r="D165" s="18" t="s">
        <v>1087</v>
      </c>
      <c r="E165" s="18"/>
      <c r="I165" s="11"/>
      <c r="J165" s="12"/>
      <c r="K165" s="13"/>
    </row>
    <row r="166" spans="2:11" x14ac:dyDescent="0.3">
      <c r="B166" s="19">
        <f>GETPIVOTDATA("Amount",$C$154)</f>
        <v>301714.14000000077</v>
      </c>
      <c r="C166" s="19">
        <f>F155</f>
        <v>92980.300000000134</v>
      </c>
      <c r="D166" s="19">
        <f>B166-C166</f>
        <v>208733.84000000064</v>
      </c>
      <c r="E166" s="18"/>
      <c r="I166" s="11"/>
      <c r="J166" s="12"/>
      <c r="K166" s="13"/>
    </row>
    <row r="167" spans="2:11" x14ac:dyDescent="0.3">
      <c r="I167" s="11"/>
      <c r="J167" s="12"/>
      <c r="K167" s="13"/>
    </row>
    <row r="168" spans="2:11" x14ac:dyDescent="0.3">
      <c r="I168" s="11"/>
      <c r="J168" s="12"/>
      <c r="K168" s="13"/>
    </row>
    <row r="169" spans="2:11" x14ac:dyDescent="0.3">
      <c r="E169" s="22">
        <f>D166/B166</f>
        <v>0.69182650836318149</v>
      </c>
      <c r="I169" s="11"/>
      <c r="J169" s="12"/>
      <c r="K169" s="13"/>
    </row>
    <row r="170" spans="2:11" x14ac:dyDescent="0.3">
      <c r="B170" t="s">
        <v>1089</v>
      </c>
      <c r="I170" s="11"/>
      <c r="J170" s="12"/>
      <c r="K170" s="13"/>
    </row>
    <row r="171" spans="2:11" x14ac:dyDescent="0.3">
      <c r="B171" s="23">
        <f>(D156-F155) /D156</f>
        <v>0.69182650836318149</v>
      </c>
      <c r="I171" s="14"/>
      <c r="J171" s="15"/>
      <c r="K171" s="16"/>
    </row>
    <row r="172" spans="2:11" x14ac:dyDescent="0.3">
      <c r="D172" s="23">
        <f>(GETPIVOTDATA("Amount",$C$154)-F155)/GETPIVOTDATA("Amount",$C$154)</f>
        <v>0.69182650836318149</v>
      </c>
    </row>
    <row r="173" spans="2:11" x14ac:dyDescent="0.3">
      <c r="B173" s="8"/>
      <c r="C173" s="9"/>
      <c r="D173" s="10"/>
    </row>
    <row r="174" spans="2:11" x14ac:dyDescent="0.3">
      <c r="B174" s="11"/>
      <c r="C174" s="12"/>
      <c r="D174" s="13"/>
    </row>
    <row r="175" spans="2:11" x14ac:dyDescent="0.3">
      <c r="B175" s="11"/>
      <c r="C175" s="12"/>
      <c r="D175" s="13"/>
    </row>
    <row r="176" spans="2:11" x14ac:dyDescent="0.3">
      <c r="B176" s="11"/>
      <c r="C176" s="12"/>
      <c r="D176" s="13"/>
    </row>
    <row r="177" spans="2:4" x14ac:dyDescent="0.3">
      <c r="B177" s="11"/>
      <c r="C177" s="12"/>
      <c r="D177" s="13"/>
    </row>
    <row r="178" spans="2:4" x14ac:dyDescent="0.3">
      <c r="B178" s="11"/>
      <c r="C178" s="12"/>
      <c r="D178" s="13"/>
    </row>
    <row r="179" spans="2:4" x14ac:dyDescent="0.3">
      <c r="B179" s="11"/>
      <c r="C179" s="12"/>
      <c r="D179" s="13"/>
    </row>
    <row r="180" spans="2:4" x14ac:dyDescent="0.3">
      <c r="B180" s="11"/>
      <c r="C180" s="12"/>
      <c r="D180" s="13"/>
    </row>
    <row r="181" spans="2:4" x14ac:dyDescent="0.3">
      <c r="B181" s="11"/>
      <c r="C181" s="12"/>
      <c r="D181" s="13"/>
    </row>
    <row r="182" spans="2:4" x14ac:dyDescent="0.3">
      <c r="B182" s="11"/>
      <c r="C182" s="12"/>
      <c r="D182" s="13"/>
    </row>
    <row r="183" spans="2:4" x14ac:dyDescent="0.3">
      <c r="B183" s="11"/>
      <c r="C183" s="12"/>
      <c r="D183" s="13"/>
    </row>
    <row r="184" spans="2:4" x14ac:dyDescent="0.3">
      <c r="B184" s="11"/>
      <c r="C184" s="12"/>
      <c r="D184" s="13"/>
    </row>
    <row r="185" spans="2:4" x14ac:dyDescent="0.3">
      <c r="B185" s="11"/>
      <c r="C185" s="12"/>
      <c r="D185" s="13"/>
    </row>
    <row r="186" spans="2:4" x14ac:dyDescent="0.3">
      <c r="B186" s="11"/>
      <c r="C186" s="12"/>
      <c r="D186" s="13"/>
    </row>
    <row r="187" spans="2:4" x14ac:dyDescent="0.3">
      <c r="B187" s="11"/>
      <c r="C187" s="12"/>
      <c r="D187" s="13"/>
    </row>
    <row r="188" spans="2:4" x14ac:dyDescent="0.3">
      <c r="B188" s="11"/>
      <c r="C188" s="12"/>
      <c r="D188" s="13"/>
    </row>
    <row r="189" spans="2:4" x14ac:dyDescent="0.3">
      <c r="B189" s="11"/>
      <c r="C189" s="12"/>
      <c r="D189" s="13"/>
    </row>
    <row r="190" spans="2:4" x14ac:dyDescent="0.3">
      <c r="B190" s="14"/>
      <c r="C190" s="15"/>
      <c r="D190" s="16"/>
    </row>
  </sheetData>
  <pageMargins left="0.7" right="0.7" top="0.75" bottom="0.75" header="0.3" footer="0.3"/>
  <pageSetup orientation="portrait" r:id="rId14"/>
  <drawing r:id="rId15"/>
  <extLst>
    <ext xmlns:x14="http://schemas.microsoft.com/office/spreadsheetml/2009/9/main" uri="{A8765BA9-456A-4dab-B4F3-ACF838C121DE}">
      <x14:slicerList>
        <x14:slicer r:id="rId1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58A7E-F2E3-477A-B9BB-E56339CD3AFA}">
  <sheetPr codeName="Sheet2"/>
  <dimension ref="AB8:AC30"/>
  <sheetViews>
    <sheetView showGridLines="0" tabSelected="1" topLeftCell="A2" zoomScale="56" zoomScaleNormal="40" workbookViewId="0">
      <selection activeCell="AD16" sqref="AD16"/>
    </sheetView>
  </sheetViews>
  <sheetFormatPr defaultRowHeight="14.4" x14ac:dyDescent="0.3"/>
  <sheetData>
    <row r="8" spans="28:28" x14ac:dyDescent="0.3">
      <c r="AB8" s="20"/>
    </row>
    <row r="30" spans="29:29" x14ac:dyDescent="0.3">
      <c r="AC30" t="s">
        <v>1090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ThisWorkbook.Reset_Filters">
                <anchor moveWithCells="1" sizeWithCells="1">
                  <from>
                    <xdr:col>23</xdr:col>
                    <xdr:colOff>457200</xdr:colOff>
                    <xdr:row>7</xdr:row>
                    <xdr:rowOff>182880</xdr:rowOff>
                  </from>
                  <to>
                    <xdr:col>26</xdr:col>
                    <xdr:colOff>266700</xdr:colOff>
                    <xdr:row>12</xdr:row>
                    <xdr:rowOff>45720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Personal Finance</vt:lpstr>
      <vt:lpstr>Sheet2</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 Bansal</dc:creator>
  <cp:lastModifiedBy>swarup bhosale</cp:lastModifiedBy>
  <dcterms:created xsi:type="dcterms:W3CDTF">2026-03-11T02:30:26Z</dcterms:created>
  <dcterms:modified xsi:type="dcterms:W3CDTF">2026-09-16T13:07:56Z</dcterms:modified>
</cp:coreProperties>
</file>